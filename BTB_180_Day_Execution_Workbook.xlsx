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6ce0d3f15b475d" /></Relationships>
</file>

<file path=xl/workbook.xml><?xml version="1.0" encoding="utf-8"?>
<x:workbook xmlns:x="http://schemas.openxmlformats.org/spreadsheetml/2006/main">
  <x:sheets>
    <x:sheet xmlns:r="http://schemas.openxmlformats.org/officeDocument/2006/relationships" name="Overview" sheetId="1" r:id="R4cd76f963b8e4ccc"/>
    <x:sheet xmlns:r="http://schemas.openxmlformats.org/officeDocument/2006/relationships" name="Calendar" sheetId="2" r:id="R897a0dbfe154453c"/>
    <x:sheet xmlns:r="http://schemas.openxmlformats.org/officeDocument/2006/relationships" name="Slides" sheetId="3" r:id="R33f4890b61154cc8"/>
    <x:sheet xmlns:r="http://schemas.openxmlformats.org/officeDocument/2006/relationships" name="Captions" sheetId="4" r:id="R548ac0126e914a7e"/>
    <x:sheet xmlns:r="http://schemas.openxmlformats.org/officeDocument/2006/relationships" name="Metrics" sheetId="5" r:id="Re0dd6a5b5c9d4f99"/>
    <x:sheet xmlns:r="http://schemas.openxmlformats.org/officeDocument/2006/relationships" name="Followers" sheetId="6" r:id="R41e4187a607a448d"/>
    <x:sheet xmlns:r="http://schemas.openxmlformats.org/officeDocument/2006/relationships" name="Definitions" sheetId="7" r:id="R48eda15cf6124e8c"/>
    <x:sheet xmlns:r="http://schemas.openxmlformats.org/officeDocument/2006/relationships" name="Sources" sheetId="8" r:id="Rd0bdd62566a5449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8">
    <x:font>
      <x:sz val="11"/>
      <x:name val="Carlito"/>
    </x:font>
    <x:font>
      <x:sz val="11"/>
      <x:color rgb="FF1A1A1A"/>
      <x:name val="Carlito"/>
    </x:font>
    <x:font>
      <x:b/>
      <x:sz val="11"/>
      <x:color rgb="FFF5F5F5"/>
      <x:name val="Carlito"/>
    </x:font>
    <x:font>
      <x:sz val="11"/>
      <x:color rgb="FF2F4F6F"/>
      <x:name val="Carlito"/>
    </x:font>
    <x:font>
      <x:sz val="11"/>
      <x:color rgb="FF6E7F5F"/>
      <x:name val="Carlito"/>
    </x:font>
    <x:font>
      <x:b/>
      <x:sz val="20"/>
      <x:color rgb="FFF5F5F5"/>
      <x:name val="Carlito"/>
    </x:font>
    <x:font>
      <x:b/>
      <x:sz val="10"/>
      <x:color rgb="FF1A1A1A"/>
      <x:name val="Carlito"/>
    </x:font>
    <x:font>
      <x:b/>
      <x:sz val="25"/>
      <x:color rgb="FF1A1A1A"/>
      <x:name val="Carlito"/>
    </x:font>
  </x:fonts>
  <x:fills count="7">
    <x:fill>
      <x:patternFill patternType="none"/>
    </x:fill>
    <x:fill>
      <x:patternFill patternType="gray125"/>
    </x:fill>
    <x:fill>
      <x:patternFill patternType="solid">
        <x:fgColor rgb="FF1A1A1A"/>
      </x:patternFill>
    </x:fill>
    <x:fill>
      <x:patternFill patternType="solid">
        <x:fgColor rgb="FFF5F5F5"/>
      </x:patternFill>
    </x:fill>
    <x:fill>
      <x:patternFill patternType="solid">
        <x:fgColor rgb="FFC2A57B"/>
      </x:patternFill>
    </x:fill>
    <x:fill>
      <x:patternFill patternType="solid">
        <x:fgColor rgb="FFFFFFFF"/>
      </x:patternFill>
    </x:fill>
    <x:fill>
      <x:patternFill patternType="solid">
        <x:fgColor rgb="FFE9E4DC"/>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1"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201" fontId="3" fillId="0" borderId="0" xfId="0" applyNumberFormat="1" applyFont="1" applyFill="1" applyBorder="1" applyAlignment="1">
      <x:alignment vertical="center" wrapText="1"/>
    </x:xf>
    <x:xf numFmtId="200" fontId="3" fillId="0" borderId="1" xfId="0" applyNumberFormat="1" applyFont="1" applyFill="1" applyBorder="1" applyAlignment="1">
      <x:alignment vertical="center" wrapText="1"/>
    </x:xf>
    <x:xf numFmtId="201" fontId="3" fillId="0"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4" borderId="0" xfId="0" applyNumberFormat="1" applyFont="1" applyFill="1" applyBorder="1" applyAlignment="1">
      <x:alignment horizontal="center" vertical="center" wrapText="1"/>
    </x:xf>
    <x:xf numFmtId="0" fontId="1" fillId="4" borderId="1"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0" fontId="6" fillId="4" borderId="1"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0" xfId="0" applyNumberFormat="1" applyFont="1" applyFill="1" applyBorder="1" applyAlignment="1">
      <x:alignment horizontal="center" vertical="center" wrapText="1"/>
    </x:xf>
    <x:xf numFmtId="0" fontId="1" fillId="5" borderId="1" xfId="0" applyNumberFormat="1" applyFont="1" applyFill="1" applyBorder="1" applyAlignment="1">
      <x:alignment vertical="center" wrapText="1"/>
    </x:xf>
    <x:xf numFmtId="0" fontId="7" fillId="5" borderId="1" xfId="0" applyNumberFormat="1" applyFont="1" applyFill="1" applyBorder="1" applyAlignment="1">
      <x:alignment vertical="center" wrapText="1"/>
    </x:xf>
    <x:xf numFmtId="0" fontId="7" fillId="5" borderId="1" xfId="0" applyNumberFormat="1" applyFont="1" applyFill="1" applyBorder="1" applyAlignment="1">
      <x:alignment horizontal="center" vertical="center" wrapText="1"/>
    </x:xf>
    <x:xf numFmtId="0" fontId="1" fillId="6" borderId="0" xfId="0" applyNumberFormat="1" applyFont="1" applyFill="1" applyBorder="1" applyAlignment="1">
      <x:alignment vertical="center" wrapText="1"/>
    </x:xf>
    <x:xf numFmtId="0" fontId="1" fillId="6"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3" borderId="1"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201" fontId="3" fillId="3"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200" fontId="3" fillId="3" borderId="1" xfId="0" applyNumberFormat="1" applyFont="1" applyFill="1" applyBorder="1" applyAlignment="1">
      <x:alignment vertical="center" wrapText="1"/>
    </x:xf>
    <x:xf numFmtId="201" fontId="3" fillId="3" borderId="1" xfId="0" applyNumberFormat="1" applyFont="1" applyFill="1" applyBorder="1" applyAlignment="1">
      <x:alignment vertical="center" wrapText="1"/>
    </x:xf>
    <x:xf numFmtId="202" fontId="1" fillId="3" borderId="1"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3" borderId="1" xfId="0" applyNumberFormat="1" applyFont="1" applyFill="1" applyBorder="1" applyAlignment="1">
      <x:alignment vertical="center" wrapText="1"/>
    </x:xf>
    <x:xf numFmtId="200" fontId="1" fillId="3" borderId="0" xfId="0" applyNumberFormat="1" applyFont="1" applyFill="1" applyBorder="1" applyAlignment="1">
      <x:alignment horizontal="center" vertical="center" wrapText="1"/>
    </x:xf>
    <x:xf numFmtId="200" fontId="1" fillId="3" borderId="1"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cellXfs>
  <x:cellStyles count="1">
    <x:cellStyle name="Normal" xfId="0"/>
  </x:cellStyles>
  <x:dxfs count="2">
    <x:dxf>
      <x:font>
        <x:color rgb="FFB91C1C"/>
      </x:font>
      <x:fill>
        <x:patternFill patternType="solid">
          <x:bgColor rgb="FFFEE2E2"/>
        </x:patternFill>
      </x:fill>
    </x:dxf>
    <x:dxf>
      <x:font>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c105ece03c4b8f" /><Relationship Type="http://schemas.openxmlformats.org/officeDocument/2006/relationships/theme" Target="/xl/theme/theme1.xml" Id="R620e2d686aef4936" /><Relationship Type="http://schemas.openxmlformats.org/officeDocument/2006/relationships/sharedStrings" Target="/xl/sharedStrings.xml" Id="Reeb728b1ae024c7d" /><Relationship Type="http://schemas.openxmlformats.org/officeDocument/2006/relationships/worksheet" Target="/xl/worksheets/sheet1.xml" Id="R4cd76f963b8e4ccc" /><Relationship Type="http://schemas.openxmlformats.org/officeDocument/2006/relationships/worksheet" Target="/xl/worksheets/sheet2.xml" Id="R897a0dbfe154453c" /><Relationship Type="http://schemas.openxmlformats.org/officeDocument/2006/relationships/worksheet" Target="/xl/worksheets/sheet3.xml" Id="R33f4890b61154cc8" /><Relationship Type="http://schemas.openxmlformats.org/officeDocument/2006/relationships/worksheet" Target="/xl/worksheets/sheet4.xml" Id="R548ac0126e914a7e" /><Relationship Type="http://schemas.openxmlformats.org/officeDocument/2006/relationships/worksheet" Target="/xl/worksheets/sheet5.xml" Id="Re0dd6a5b5c9d4f99" /><Relationship Type="http://schemas.openxmlformats.org/officeDocument/2006/relationships/worksheet" Target="/xl/worksheets/sheet6.xml" Id="R41e4187a607a448d" /><Relationship Type="http://schemas.openxmlformats.org/officeDocument/2006/relationships/worksheet" Target="/xl/worksheets/sheet7.xml" Id="R48eda15cf6124e8c" /><Relationship Type="http://schemas.openxmlformats.org/officeDocument/2006/relationships/worksheet" Target="/xl/worksheets/sheet8.xml" Id="Rd0bdd62566a54499" /></Relationships>
</file>

<file path=xl/drawings/_rels/drawing1.xml.rels>&#65279;<?xml version="1.0" encoding="utf-8"?><Relationships xmlns="http://schemas.openxmlformats.org/package/2006/relationships"><Relationship Type="http://schemas.openxmlformats.org/officeDocument/2006/relationships/chart" Target="/xl/drawings/charts/chart1.xml" Id="R3afd2c5689a6447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Prepared allocation — not performance</a:t>
            </a:r>
          </a:p>
        </c:rich>
      </c:tx>
      <c:overlay val="0"/>
    </c:title>
    <c:plotArea>
      <c:barChart>
        <c:barDir val="col"/>
        <c:varyColors val="0"/>
        <c:ser>
          <c:idx val="0"/>
          <c:order val="0"/>
          <c:tx>
            <c:v>Planned posts</c:v>
          </c:tx>
          <c:cat>
            <c:strRef>
              <c:f>'Overview'!$B$13:$B$18</c:f>
              <c:strCache>
                <c:ptCount val="0"/>
              </c:strCache>
            </c:strRef>
          </c:cat>
          <c:val>
            <c:numRef>
              <c:f>'Overview'!$C$13:$C$18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11</xdr:row>
      <xdr:rowOff>0</xdr:rowOff>
    </xdr:from>
    <xdr:to>
      <xdr:col>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fd2c5689a64476"/>
        </a:graphicData>
      </a:graphic>
    </xdr:graphicFrame>
    <xdr:clientData/>
  </xdr:twoCellAnchor>
</xdr:wsDr>
</file>

<file path=xl/tables/table1.xml><?xml version="1.0" encoding="utf-8"?>
<x:table xmlns:x="http://schemas.openxmlformats.org/spreadsheetml/2006/main" id="1" name="CalendarTable" displayName="CalendarTable" ref="A1:K181" headerRowCount="1" totalsRowCount="0" totalsRowShown="0">
  <x:tableColumns count="11">
    <x:tableColumn id="1" name="ID"/>
    <x:tableColumn id="2" name="Editorial date"/>
    <x:tableColumn id="3" name="Day"/>
    <x:tableColumn id="4" name="Block"/>
    <x:tableColumn id="5" name="Pillar"/>
    <x:tableColumn id="6" name="Recurring series"/>
    <x:tableColumn id="7" name="Cover / hook"/>
    <x:tableColumn id="8" name="Primary CTA"/>
    <x:tableColumn id="9" name="Layout family"/>
    <x:tableColumn id="10" name="Owner review"/>
    <x:tableColumn id="11" name="Founder attestation"/>
  </x:tableColumns>
  <x:tableStyleInfo name="TableStyleMedium2" showFirstColumn="0" showLastColumn="0" showRowStripes="1" showColumnStripes="0"/>
</x:table>
</file>

<file path=xl/tables/table2.xml><?xml version="1.0" encoding="utf-8"?>
<x:table xmlns:x="http://schemas.openxmlformats.org/spreadsheetml/2006/main" id="2" name="SlideCopyTable" displayName="SlideCopyTable" ref="A1:H1081" headerRowCount="1" totalsRowCount="0" totalsRowShown="0">
  <x:tableColumns count="8">
    <x:tableColumn id="1" name="ID"/>
    <x:tableColumn id="2" name="Editorial date"/>
    <x:tableColumn id="3" name="Pillar"/>
    <x:tableColumn id="4" name="Slide"/>
    <x:tableColumn id="5" name="Exact slide copy"/>
    <x:tableColumn id="6" name="Exact accessibility text"/>
    <x:tableColumn id="7" name="Layout"/>
    <x:tableColumn id="8" name="Review status"/>
  </x:tableColumns>
  <x:tableStyleInfo name="TableStyleMedium2" showFirstColumn="0" showLastColumn="0" showRowStripes="1" showColumnStripes="0"/>
</x:table>
</file>

<file path=xl/tables/table3.xml><?xml version="1.0" encoding="utf-8"?>
<x:table xmlns:x="http://schemas.openxmlformats.org/spreadsheetml/2006/main" id="3" name="CaptionTable" displayName="CaptionTable" ref="A1:F181" headerRowCount="1" totalsRowCount="0" totalsRowShown="0">
  <x:tableColumns count="6">
    <x:tableColumn id="1" name="ID"/>
    <x:tableColumn id="2" name="Editorial date"/>
    <x:tableColumn id="3" name="Pillar"/>
    <x:tableColumn id="4" name="Exact caption + descriptive hashtags"/>
    <x:tableColumn id="5" name="Founder attestation"/>
    <x:tableColumn id="6" name="Copy SHA-256"/>
  </x:tableColumns>
  <x:tableStyleInfo name="TableStyleMedium2" showFirstColumn="0" showLastColumn="0" showRowStripes="1" showColumnStripes="0"/>
</x:table>
</file>

<file path=xl/tables/table4.xml><?xml version="1.0" encoding="utf-8"?>
<x:table xmlns:x="http://schemas.openxmlformats.org/spreadsheetml/2006/main" id="4" name="MetricsTable" displayName="MetricsTable" ref="A1:Q181" headerRowCount="1" totalsRowCount="0" totalsRowShown="0">
  <x:tableColumns count="17">
    <x:tableColumn id="1" name="ID"/>
    <x:tableColumn id="2" name="Planned date"/>
    <x:tableColumn id="3" name="Actual published date"/>
    <x:tableColumn id="4" name="Snapshot age (days)"/>
    <x:tableColumn id="5" name="Accounts reached"/>
    <x:tableColumn id="6" name="Non-follower reach (if available)"/>
    <x:tableColumn id="7" name="Views"/>
    <x:tableColumn id="8" name="Shares"/>
    <x:tableColumn id="9" name="Saves"/>
    <x:tableColumn id="10" name="Profile visits (if available)"/>
    <x:tableColumn id="11" name="Post-attributed follows (if available)"/>
    <x:tableColumn id="12" name="Shares / 1,000 reached"/>
    <x:tableColumn id="13" name="Saves / 1,000 reached"/>
    <x:tableColumn id="14" name="Follows / 1,000 reached"/>
    <x:tableColumn id="15" name="Profile visits / 1,000 reached"/>
    <x:tableColumn id="16" name="Exposure context"/>
    <x:tableColumn id="17" name="Snapshot notes"/>
  </x:tableColumns>
  <x:tableStyleInfo name="TableStyleMedium2" showFirstColumn="0" showLastColumn="0" showRowStripes="1" showColumnStripes="0"/>
</x:table>
</file>

<file path=xl/tables/table5.xml><?xml version="1.0" encoding="utf-8"?>
<x:table xmlns:x="http://schemas.openxmlformats.org/spreadsheetml/2006/main" id="5" name="FollowerObservations" displayName="FollowerObservations" ref="A1:E182" headerRowCount="1" totalsRowCount="0" totalsRowShown="0">
  <x:tableColumns count="5">
    <x:tableColumn id="1" name="Observation date"/>
    <x:tableColumn id="2" name="Observed follower stock"/>
    <x:tableColumn id="3" name="Change vs preceding calendar row"/>
    <x:tableColumn id="4" name="Observation index (formula)"/>
    <x:tableColumn id="5" name="Evidence / observation note"/>
  </x:tableColumns>
  <x:tableStyleInfo name="TableStyleMedium2" showFirstColumn="0" showLastColumn="0" showRowStripes="1" showColumnStripes="0"/>
</x:table>
</file>

<file path=xl/tables/table6.xml><?xml version="1.0" encoding="utf-8"?>
<x:table xmlns:x="http://schemas.openxmlformats.org/spreadsheetml/2006/main" id="6" name="DefinitionTable" displayName="DefinitionTable" ref="A1:C21" headerRowCount="1" totalsRowCount="0" totalsRowShown="0">
  <x:tableColumns count="3">
    <x:tableColumn id="1" name="Field / decision"/>
    <x:tableColumn id="2" name="Definition / use"/>
    <x:tableColumn id="3" name="Rule / caveat"/>
  </x:tableColumns>
  <x:tableStyleInfo name="TableStyleMedium2" showFirstColumn="0" showLastColumn="0" showRowStripes="1" showColumnStripes="0"/>
</x:table>
</file>

<file path=xl/tables/table7.xml><?xml version="1.0" encoding="utf-8"?>
<x:table xmlns:x="http://schemas.openxmlformats.org/spreadsheetml/2006/main" id="7" name="SourceTable" displayName="SourceTable" ref="A1:D18" headerRowCount="1" totalsRowCount="0" totalsRowShown="0">
  <x:tableColumns count="4">
    <x:tableColumn id="1" name="ID"/>
    <x:tableColumn id="2" name="Source"/>
    <x:tableColumn id="3" name="Location / URL"/>
    <x:tableColumn id="4" name="Use and 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7791b4886a1446e" /></Relationships>
</file>

<file path=xl/worksheets/_rels/sheet2.xml.rels>&#65279;<?xml version="1.0" encoding="utf-8"?><Relationships xmlns="http://schemas.openxmlformats.org/package/2006/relationships"><Relationship Type="http://schemas.openxmlformats.org/officeDocument/2006/relationships/table" Target="/xl/tables/table1.xml" Id="Reef52472e0a942d9" /></Relationships>
</file>

<file path=xl/worksheets/_rels/sheet3.xml.rels>&#65279;<?xml version="1.0" encoding="utf-8"?><Relationships xmlns="http://schemas.openxmlformats.org/package/2006/relationships"><Relationship Type="http://schemas.openxmlformats.org/officeDocument/2006/relationships/table" Target="/xl/tables/table2.xml" Id="Raf5c70269f354f00" /></Relationships>
</file>

<file path=xl/worksheets/_rels/sheet4.xml.rels>&#65279;<?xml version="1.0" encoding="utf-8"?><Relationships xmlns="http://schemas.openxmlformats.org/package/2006/relationships"><Relationship Type="http://schemas.openxmlformats.org/officeDocument/2006/relationships/table" Target="/xl/tables/table3.xml" Id="R85117fa25570425c" /></Relationships>
</file>

<file path=xl/worksheets/_rels/sheet5.xml.rels>&#65279;<?xml version="1.0" encoding="utf-8"?><Relationships xmlns="http://schemas.openxmlformats.org/package/2006/relationships"><Relationship Type="http://schemas.openxmlformats.org/officeDocument/2006/relationships/table" Target="/xl/tables/table4.xml" Id="Rcd6a6ecfb10c4160" /></Relationships>
</file>

<file path=xl/worksheets/_rels/sheet6.xml.rels>&#65279;<?xml version="1.0" encoding="utf-8"?><Relationships xmlns="http://schemas.openxmlformats.org/package/2006/relationships"><Relationship Type="http://schemas.openxmlformats.org/officeDocument/2006/relationships/table" Target="/xl/tables/table5.xml" Id="R08f59b3f76414a79" /></Relationships>
</file>

<file path=xl/worksheets/_rels/sheet7.xml.rels>&#65279;<?xml version="1.0" encoding="utf-8"?><Relationships xmlns="http://schemas.openxmlformats.org/package/2006/relationships"><Relationship Type="http://schemas.openxmlformats.org/officeDocument/2006/relationships/table" Target="/xl/tables/table6.xml" Id="Rac4b54a5fbe847a6" /></Relationships>
</file>

<file path=xl/worksheets/_rels/sheet8.xml.rels>&#65279;<?xml version="1.0" encoding="utf-8"?><Relationships xmlns="http://schemas.openxmlformats.org/package/2006/relationships"><Relationship Type="http://schemas.openxmlformats.org/officeDocument/2006/relationships/table" Target="/xl/tables/table7.xml" Id="Rc38dc106397c49e9"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0" hidden="0" customWidth="1"/>
    <x:col min="2" max="2" width="37" hidden="0" customWidth="1"/>
    <x:col min="3" max="3" width="13" hidden="0" customWidth="1"/>
    <x:col min="4" max="4" width="4" hidden="0" customWidth="1"/>
    <x:col min="5" max="5" width="17" hidden="0" customWidth="1"/>
    <x:col min="6" max="6" width="17" hidden="0" customWidth="1"/>
    <x:col min="7" max="7" width="17" hidden="0" customWidth="1"/>
    <x:col min="8" max="8" width="17" hidden="0" customWidth="1"/>
  </x:cols>
  <x:sheetData>
    <x:row r="1" ht="25" customHeight="1">
      <x:c r="A1" s="34" t="str">
        <x:v>BROKEN TO BALANCED | 180-DAY CAROUSEL LIBRARY</x:v>
      </x:c>
      <x:c r="B1" s="34"/>
      <x:c r="C1" s="34"/>
      <x:c r="D1" s="34"/>
      <x:c r="E1" s="34"/>
      <x:c r="F1" s="34"/>
      <x:c r="G1" s="34"/>
      <x:c r="H1" s="34"/>
    </x:row>
    <x:row r="2" ht="25" customHeight="1">
      <x:c r="A2" s="34"/>
      <x:c r="B2" s="34"/>
      <x:c r="C2" s="34"/>
      <x:c r="D2" s="34"/>
      <x:c r="E2" s="34"/>
      <x:c r="F2" s="34"/>
      <x:c r="G2" s="34"/>
      <x:c r="H2" s="34"/>
    </x:row>
    <x:row r="3" ht="25" customHeight="1">
      <x:c r="A3" s="36" t="str">
        <x:v>28 Oct 2026 – 25 Apr 2027 • Editorial slots only • Research cutoff: 27 Oct 2026</x:v>
      </x:c>
      <x:c r="B3" s="36"/>
      <x:c r="C3" s="36"/>
      <x:c r="D3" s="36"/>
      <x:c r="E3" s="36"/>
      <x:c r="F3" s="36"/>
      <x:c r="G3" s="36"/>
      <x:c r="H3" s="36"/>
    </x:row>
    <x:row r="4" ht="25" customHeight="1">
      <x:c r="A4" s="29"/>
      <x:c r="B4" s="29"/>
      <x:c r="C4" s="29"/>
      <x:c r="D4" s="29"/>
      <x:c r="E4" s="29"/>
      <x:c r="F4" s="29"/>
      <x:c r="G4" s="29"/>
      <x:c r="H4" s="29"/>
    </x:row>
    <x:row r="5" ht="25" customHeight="1">
      <x:c r="A5" s="40" t="str">
        <x:v>COMPLETE POSTS</x:v>
      </x:c>
      <x:c r="B5" s="40"/>
      <x:c r="C5" s="40" t="str">
        <x:v>SLIDE TEXTS</x:v>
      </x:c>
      <x:c r="D5" s="40"/>
      <x:c r="E5" s="40" t="str">
        <x:v>REACH OBSERVATIONS ENTERED</x:v>
      </x:c>
      <x:c r="F5" s="40"/>
      <x:c r="G5" s="40" t="str">
        <x:v>OBSERVED NET FOLLOWER CHANGE</x:v>
      </x:c>
      <x:c r="H5" s="40"/>
    </x:row>
    <x:row r="6" ht="25" customHeight="1">
      <x:c r="A6" s="46" t="n">
        <x:f>COUNTA(Calendar!A2:A181)</x:f>
        <x:v>180</x:v>
      </x:c>
      <x:c r="B6" s="46"/>
      <x:c r="C6" s="46" t="n">
        <x:f>COUNTA(Slides!A2:A1081)</x:f>
        <x:v>1080</x:v>
      </x:c>
      <x:c r="D6" s="46"/>
      <x:c r="E6" s="46" t="n">
        <x:f>COUNT(Metrics!E2:E181)</x:f>
        <x:v>0</x:v>
      </x:c>
      <x:c r="F6" s="46"/>
      <x:c r="G6" s="46" t="str">
        <x:f>IF(OR(Followers!B2="",COUNT(Followers!B2:B182)=0),"Not measured",INDEX(Followers!B2:B182,MAX(Followers!D2:D182))-Followers!B2)</x:f>
        <x:v>Not measured</x:v>
      </x:c>
      <x:c r="H6" s="46"/>
    </x:row>
    <x:row r="7" ht="25" customHeight="1">
      <x:c r="A7" s="46"/>
      <x:c r="B7" s="46"/>
      <x:c r="C7" s="46"/>
      <x:c r="D7" s="46"/>
      <x:c r="E7" s="46"/>
      <x:c r="F7" s="46"/>
      <x:c r="G7" s="46"/>
      <x:c r="H7" s="46"/>
    </x:row>
    <x:row r="8" ht="25" customHeight="1">
      <x:c r="A8" s="29"/>
      <x:c r="B8" s="29"/>
      <x:c r="C8" s="29"/>
      <x:c r="D8" s="29"/>
      <x:c r="E8" s="29"/>
      <x:c r="F8" s="29"/>
      <x:c r="G8" s="29"/>
      <x:c r="H8" s="29"/>
    </x:row>
    <x:row r="9" ht="25" customHeight="1">
      <x:c r="A9" s="50" t="str">
        <x:v>Scale ambition: the reference accounts' roughly 1M / 2.6M screenshot audiences. This is not a follower forecast. Baseline and performance actuals remain unknown until entered from verified native insights.</x:v>
      </x:c>
      <x:c r="B9" s="50"/>
      <x:c r="C9" s="50"/>
      <x:c r="D9" s="50"/>
      <x:c r="E9" s="50"/>
      <x:c r="F9" s="50"/>
      <x:c r="G9" s="50"/>
      <x:c r="H9" s="50"/>
    </x:row>
    <x:row r="10" ht="25" customHeight="1">
      <x:c r="A10" s="50"/>
      <x:c r="B10" s="50"/>
      <x:c r="C10" s="50"/>
      <x:c r="D10" s="50"/>
      <x:c r="E10" s="50"/>
      <x:c r="F10" s="50"/>
      <x:c r="G10" s="50"/>
      <x:c r="H10" s="50"/>
    </x:row>
    <x:row r="11" ht="25" customHeight="1">
      <x:c r="A11" s="29"/>
      <x:c r="B11" s="29"/>
      <x:c r="C11" s="29"/>
      <x:c r="D11" s="29"/>
      <x:c r="E11" s="29"/>
      <x:c r="F11" s="29"/>
      <x:c r="G11" s="29"/>
      <x:c r="H11" s="29"/>
    </x:row>
    <x:row r="12" ht="36" customHeight="1">
      <x:c r="A12" s="9" t="str">
        <x:v>Pillar</x:v>
      </x:c>
      <x:c r="B12" s="9" t="str">
        <x:v>Operating theme</x:v>
      </x:c>
      <x:c r="C12" s="9" t="str">
        <x:v>Planned posts</x:v>
      </x:c>
      <x:c r="D12" s="29"/>
      <x:c r="E12" s="29"/>
      <x:c r="F12" s="29"/>
      <x:c r="G12" s="29"/>
      <x:c r="H12" s="29"/>
    </x:row>
    <x:row r="13" ht="46" customHeight="1">
      <x:c r="A13" s="29" t="str">
        <x:v>P1</x:v>
      </x:c>
      <x:c r="B13" s="29" t="str">
        <x:v>Life after the rupture</x:v>
      </x:c>
      <x:c r="C13" s="29" t="n">
        <x:f>COUNTIF(Calendar!E2:E181,A13)</x:f>
        <x:v>36</x:v>
      </x:c>
      <x:c r="D13" s="29"/>
      <x:c r="E13" s="29"/>
      <x:c r="F13" s="29"/>
      <x:c r="G13" s="29"/>
      <x:c r="H13" s="29"/>
    </x:row>
    <x:row r="14" ht="46" customHeight="1">
      <x:c r="A14" s="29" t="str">
        <x:v>P2</x:v>
      </x:c>
      <x:c r="B14" s="29" t="str">
        <x:v>Emotional steadiness and connection</x:v>
      </x:c>
      <x:c r="C14" s="29" t="n">
        <x:f>COUNTIF(Calendar!E2:E181,A14)</x:f>
        <x:v>36</x:v>
      </x:c>
      <x:c r="D14" s="29"/>
      <x:c r="E14" s="29"/>
      <x:c r="F14" s="29"/>
      <x:c r="G14" s="29"/>
      <x:c r="H14" s="29"/>
    </x:row>
    <x:row r="15" ht="46" customHeight="1">
      <x:c r="A15" s="29" t="str">
        <x:v>P3</x:v>
      </x:c>
      <x:c r="B15" s="29" t="str">
        <x:v>Fatherhood without the battlefield</x:v>
      </x:c>
      <x:c r="C15" s="29" t="n">
        <x:f>COUNTIF(Calendar!E2:E181,A15)</x:f>
        <x:v>30</x:v>
      </x:c>
      <x:c r="D15" s="29"/>
      <x:c r="E15" s="29"/>
      <x:c r="F15" s="29"/>
      <x:c r="G15" s="29"/>
      <x:c r="H15" s="29"/>
    </x:row>
    <x:row r="16" ht="46" customHeight="1">
      <x:c r="A16" s="29" t="str">
        <x:v>P4</x:v>
      </x:c>
      <x:c r="B16" s="29" t="str">
        <x:v>Trust, relationships and boundaries</x:v>
      </x:c>
      <x:c r="C16" s="29" t="n">
        <x:f>COUNTIF(Calendar!E2:E181,A16)</x:f>
        <x:v>30</x:v>
      </x:c>
      <x:c r="D16" s="29"/>
      <x:c r="E16" s="29"/>
      <x:c r="F16" s="29"/>
      <x:c r="G16" s="29"/>
      <x:c r="H16" s="29"/>
    </x:row>
    <x:row r="17" ht="46" customHeight="1">
      <x:c r="A17" s="29" t="str">
        <x:v>P5</x:v>
      </x:c>
      <x:c r="B17" s="29" t="str">
        <x:v>The practical rebuild</x:v>
      </x:c>
      <x:c r="C17" s="29" t="n">
        <x:f>COUNTIF(Calendar!E2:E181,A17)</x:f>
        <x:v>36</x:v>
      </x:c>
      <x:c r="D17" s="29"/>
      <x:c r="E17" s="29"/>
      <x:c r="F17" s="29"/>
      <x:c r="G17" s="29"/>
      <x:c r="H17" s="29"/>
    </x:row>
    <x:row r="18" ht="46" customHeight="1">
      <x:c r="A18" s="29" t="str">
        <x:v>P6</x:v>
      </x:c>
      <x:c r="B18" s="29" t="str">
        <x:v>An honest voice, still building</x:v>
      </x:c>
      <x:c r="C18" s="29" t="n">
        <x:f>COUNTIF(Calendar!E2:E181,A18)</x:f>
        <x:v>12</x:v>
      </x:c>
      <x:c r="D18" s="29"/>
      <x:c r="E18" s="29"/>
      <x:c r="F18" s="29"/>
      <x:c r="G18" s="29"/>
      <x:c r="H18" s="29"/>
    </x:row>
    <x:row r="19" ht="25" customHeight="1">
      <x:c r="A19" s="29"/>
      <x:c r="B19" s="29"/>
      <x:c r="C19" s="29"/>
      <x:c r="D19" s="29"/>
      <x:c r="E19" s="29"/>
      <x:c r="F19" s="29"/>
      <x:c r="G19" s="29"/>
      <x:c r="H19" s="29"/>
    </x:row>
    <x:row r="20" ht="25" customHeight="1">
      <x:c r="A20" s="44" t="str">
        <x:v>START HERE
Read the strategy and HTML library. Review exact copy before visual production.</x:v>
      </x:c>
      <x:c r="B20" s="44"/>
      <x:c r="C20" s="44"/>
      <x:c r="D20" s="29"/>
      <x:c r="E20" s="29"/>
      <x:c r="F20" s="29"/>
      <x:c r="G20" s="29"/>
      <x:c r="H20" s="29"/>
    </x:row>
    <x:row r="21" ht="25" customHeight="1">
      <x:c r="A21" s="44"/>
      <x:c r="B21" s="44"/>
      <x:c r="C21" s="44"/>
      <x:c r="D21" s="29"/>
      <x:c r="E21" s="29"/>
      <x:c r="F21" s="29"/>
      <x:c r="G21" s="29"/>
      <x:c r="H21" s="29"/>
    </x:row>
    <x:row r="22" ht="25" customHeight="1">
      <x:c r="A22" s="44"/>
      <x:c r="B22" s="44"/>
      <x:c r="C22" s="44"/>
      <x:c r="D22" s="29"/>
      <x:c r="E22" s="29"/>
      <x:c r="F22" s="29"/>
      <x:c r="G22" s="29"/>
      <x:c r="H22" s="29"/>
    </x:row>
    <x:row r="23" ht="25" customHeight="1">
      <x:c r="A23" s="29"/>
      <x:c r="B23" s="29"/>
      <x:c r="C23" s="29"/>
      <x:c r="D23" s="29"/>
      <x:c r="E23" s="29"/>
      <x:c r="F23" s="29"/>
      <x:c r="G23" s="29"/>
      <x:c r="H23" s="29"/>
    </x:row>
    <x:row r="24" ht="25" customHeight="1">
      <x:c r="A24" s="44" t="str">
        <x:v>BLUE TEXT = OWNER INPUTS
Enter actual metrics only. Blank is unknown, never an assumed zero.</x:v>
      </x:c>
      <x:c r="B24" s="44"/>
      <x:c r="C24" s="44"/>
      <x:c r="D24" s="29"/>
      <x:c r="E24" s="29"/>
      <x:c r="F24" s="29"/>
      <x:c r="G24" s="29"/>
      <x:c r="H24" s="29"/>
    </x:row>
    <x:row r="25" ht="25" customHeight="1">
      <x:c r="A25" s="44"/>
      <x:c r="B25" s="44"/>
      <x:c r="C25" s="44"/>
      <x:c r="D25" s="29"/>
      <x:c r="E25" s="44" t="str">
        <x:v>COPY AUTHORITY
BTB_180_Day_Content.json is canonical. Refresh hashes and dependent files after approved revisions.</x:v>
      </x:c>
      <x:c r="F25" s="44"/>
      <x:c r="G25" s="44"/>
      <x:c r="H25" s="44"/>
    </x:row>
    <x:row r="26" ht="25" customHeight="1">
      <x:c r="A26" s="44"/>
      <x:c r="B26" s="44"/>
      <x:c r="C26" s="44"/>
      <x:c r="D26" s="29"/>
      <x:c r="E26" s="44"/>
      <x:c r="F26" s="44"/>
      <x:c r="G26" s="44"/>
      <x:c r="H26" s="44"/>
    </x:row>
    <x:row r="27" ht="25" customHeight="1">
      <x:c r="A27" s="29"/>
      <x:c r="B27" s="29"/>
      <x:c r="C27" s="29"/>
      <x:c r="D27" s="29"/>
      <x:c r="E27" s="44"/>
      <x:c r="F27" s="44"/>
      <x:c r="G27" s="44"/>
      <x:c r="H27" s="44"/>
    </x:row>
    <x:row r="28" ht="25" customHeight="1">
      <x:c r="A28" s="29"/>
      <x:c r="B28" s="29"/>
      <x:c r="C28" s="29"/>
      <x:c r="D28" s="29"/>
      <x:c r="E28" s="29"/>
      <x:c r="F28" s="29"/>
      <x:c r="G28" s="29"/>
      <x:c r="H28" s="29"/>
    </x:row>
    <x:row r="29" ht="25" customHeight="1">
      <x:c r="A29" s="44" t="str">
        <x:v>OWNER GATES
All posts are unpublished drafts. Twelve founder posts need personal attestation. Original approved logo asset and final fonts must be verified in the Codex production run.</x:v>
      </x:c>
      <x:c r="B29" s="44"/>
      <x:c r="C29" s="44"/>
      <x:c r="D29" s="44"/>
      <x:c r="E29" s="44"/>
      <x:c r="F29" s="44"/>
      <x:c r="G29" s="44"/>
      <x:c r="H29" s="44"/>
    </x:row>
    <x:row r="30" ht="25" customHeight="1">
      <x:c r="A30" s="44"/>
      <x:c r="B30" s="44"/>
      <x:c r="C30" s="44"/>
      <x:c r="D30" s="44"/>
      <x:c r="E30" s="44"/>
      <x:c r="F30" s="44"/>
      <x:c r="G30" s="44"/>
      <x:c r="H30" s="44"/>
    </x:row>
    <x:row r="31" ht="25" customHeight="1">
      <x:c r="A31" s="44"/>
      <x:c r="B31" s="44"/>
      <x:c r="C31" s="44"/>
      <x:c r="D31" s="44"/>
      <x:c r="E31" s="44"/>
      <x:c r="F31" s="44"/>
      <x:c r="G31" s="44"/>
      <x:c r="H31" s="44"/>
    </x:row>
    <x:row r="32" ht="25" customHeight="1">
      <x:c r="A32" s="29"/>
      <x:c r="B32" s="29"/>
      <x:c r="C32" s="29"/>
      <x:c r="D32" s="29"/>
      <x:c r="E32" s="29"/>
      <x:c r="F32" s="29"/>
      <x:c r="G32" s="29"/>
      <x:c r="H32" s="29"/>
    </x:row>
    <x:row r="33" ht="25" customHeight="1">
      <x:c r="A33" s="44" t="str">
        <x:v>MEASURE CONSISTENTLY
Compare seven-day post observations. Use native metric names. Views are not unique reach. Do not infer swipe completion or attribute total follower movement to one post.</x:v>
      </x:c>
      <x:c r="B33" s="44"/>
      <x:c r="C33" s="44"/>
      <x:c r="D33" s="44"/>
      <x:c r="E33" s="44"/>
      <x:c r="F33" s="44"/>
      <x:c r="G33" s="44"/>
      <x:c r="H33" s="44"/>
    </x:row>
    <x:row r="34" ht="25" customHeight="1">
      <x:c r="A34" s="44"/>
      <x:c r="B34" s="44"/>
      <x:c r="C34" s="44"/>
      <x:c r="D34" s="44"/>
      <x:c r="E34" s="44"/>
      <x:c r="F34" s="44"/>
      <x:c r="G34" s="44"/>
      <x:c r="H34" s="44"/>
    </x:row>
    <x:row r="35" ht="25" customHeight="1">
      <x:c r="A35" s="44"/>
      <x:c r="B35" s="44"/>
      <x:c r="C35" s="44"/>
      <x:c r="D35" s="44"/>
      <x:c r="E35" s="44"/>
      <x:c r="F35" s="44"/>
      <x:c r="G35" s="44"/>
      <x:c r="H35" s="44"/>
    </x:row>
    <x:row r="36" ht="25" customHeight="1">
      <x:c r="A36" s="29"/>
      <x:c r="B36" s="29"/>
      <x:c r="C36" s="29"/>
      <x:c r="D36" s="29"/>
      <x:c r="E36" s="29"/>
      <x:c r="F36" s="29"/>
      <x:c r="G36" s="29"/>
      <x:c r="H36" s="29"/>
    </x:row>
  </x:sheetData>
  <x:mergeCells>
    <x:mergeCell ref="A1:H2"/>
    <x:mergeCell ref="A3:H3"/>
    <x:mergeCell ref="A5:B5"/>
    <x:mergeCell ref="A6:B7"/>
    <x:mergeCell ref="C5:D5"/>
    <x:mergeCell ref="C6:D7"/>
    <x:mergeCell ref="E5:F5"/>
    <x:mergeCell ref="E6:F7"/>
    <x:mergeCell ref="G5:H5"/>
    <x:mergeCell ref="G6:H7"/>
    <x:mergeCell ref="A9:H10"/>
    <x:mergeCell ref="A20:C22"/>
    <x:mergeCell ref="A24:C26"/>
    <x:mergeCell ref="E25:H27"/>
    <x:mergeCell ref="A29:H31"/>
    <x:mergeCell ref="A33:H35"/>
  </x:mergeCells>
  <x:pageMargins left="0.7" right="0.7" top="0.75" bottom="0.75" header="0.3" footer="0.3"/>
  <x:drawing xmlns:r="http://schemas.openxmlformats.org/officeDocument/2006/relationships" r:id="R67791b4886a1446e"/>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5" hidden="0" customWidth="1"/>
    <x:col min="3" max="3" width="7" hidden="0" customWidth="1"/>
    <x:col min="4" max="4" width="8" hidden="0" customWidth="1"/>
    <x:col min="5" max="5" width="8" hidden="0" customWidth="1"/>
    <x:col min="6" max="6" width="33" hidden="0" customWidth="1"/>
    <x:col min="7" max="7" width="53" hidden="0" customWidth="1"/>
    <x:col min="8" max="8" width="12" hidden="0" customWidth="1"/>
    <x:col min="9" max="9" width="14" hidden="0" customWidth="1"/>
    <x:col min="10" max="10" width="21" hidden="0" customWidth="1"/>
    <x:col min="11" max="11" width="24" hidden="0" customWidth="1"/>
  </x:cols>
  <x:sheetData>
    <x:row r="1" ht="36" customHeight="1">
      <x:c r="A1" s="9" t="str">
        <x:v>ID</x:v>
      </x:c>
      <x:c r="B1" s="9" t="str">
        <x:v>Editorial date</x:v>
      </x:c>
      <x:c r="C1" s="9" t="str">
        <x:v>Day</x:v>
      </x:c>
      <x:c r="D1" s="9" t="str">
        <x:v>Block</x:v>
      </x:c>
      <x:c r="E1" s="9" t="str">
        <x:v>Pillar</x:v>
      </x:c>
      <x:c r="F1" s="9" t="str">
        <x:v>Recurring series</x:v>
      </x:c>
      <x:c r="G1" s="9" t="str">
        <x:v>Cover / hook</x:v>
      </x:c>
      <x:c r="H1" s="9" t="str">
        <x:v>Primary CTA</x:v>
      </x:c>
      <x:c r="I1" s="9" t="str">
        <x:v>Layout family</x:v>
      </x:c>
      <x:c r="J1" s="9" t="str">
        <x:v>Owner review</x:v>
      </x:c>
      <x:c r="K1" s="9" t="str">
        <x:v>Founder attestation</x:v>
      </x:c>
    </x:row>
    <x:row r="2" ht="66" customHeight="1">
      <x:c r="A2" s="29" t="str">
        <x:v>BTB-001</x:v>
      </x:c>
      <x:c r="B2" s="62" t="n">
        <x:v>46323</x:v>
      </x:c>
      <x:c r="C2" s="64" t="n">
        <x:v>1</x:v>
      </x:c>
      <x:c r="D2" s="29" t="n">
        <x:v>1</x:v>
      </x:c>
      <x:c r="E2" s="64" t="str">
        <x:v>P1</x:v>
      </x:c>
      <x:c r="F2" s="29" t="str">
        <x:v>The Part Nobody Sees</x:v>
      </x:c>
      <x:c r="G2" s="29" t="str">
        <x:v>The relationship ended. Your responsibilities didn't.</x:v>
      </x:c>
      <x:c r="H2" s="29" t="str">
        <x:v>share</x:v>
      </x:c>
      <x:c r="I2" s="29" t="str">
        <x:v>editorial</x:v>
      </x:c>
      <x:c r="J2" s="36" t="str">
        <x:v>Draft</x:v>
      </x:c>
      <x:c r="K2" s="29" t="str">
        <x:v>Not autobiographical</x:v>
      </x:c>
    </x:row>
    <x:row r="3" ht="66" customHeight="1">
      <x:c r="A3" s="29" t="str">
        <x:v>BTB-002</x:v>
      </x:c>
      <x:c r="B3" s="62" t="n">
        <x:v>46324</x:v>
      </x:c>
      <x:c r="C3" s="64" t="n">
        <x:v>2</x:v>
      </x:c>
      <x:c r="D3" s="29" t="n">
        <x:v>1</x:v>
      </x:c>
      <x:c r="E3" s="64" t="str">
        <x:v>P2</x:v>
      </x:c>
      <x:c r="F3" s="29" t="str">
        <x:v>When the Day Gets Heavy</x:v>
      </x:c>
      <x:c r="G3" s="29" t="str">
        <x:v>A difficult morning does not need a life-changing plan.</x:v>
      </x:c>
      <x:c r="H3" s="29" t="str">
        <x:v>save</x:v>
      </x:c>
      <x:c r="I3" s="29" t="str">
        <x:v>contrast</x:v>
      </x:c>
      <x:c r="J3" s="36" t="str">
        <x:v>Draft</x:v>
      </x:c>
      <x:c r="K3" s="29" t="str">
        <x:v>Not autobiographical</x:v>
      </x:c>
    </x:row>
    <x:row r="4" ht="66" customHeight="1">
      <x:c r="A4" s="29" t="str">
        <x:v>BTB-003</x:v>
      </x:c>
      <x:c r="B4" s="62" t="n">
        <x:v>46325</x:v>
      </x:c>
      <x:c r="C4" s="64" t="n">
        <x:v>3</x:v>
      </x:c>
      <x:c r="D4" s="29" t="n">
        <x:v>1</x:v>
      </x:c>
      <x:c r="E4" s="64" t="str">
        <x:v>P3</x:v>
      </x:c>
      <x:c r="F4" s="29" t="str">
        <x:v>Keep the Child Out of the Conflict</x:v>
      </x:c>
      <x:c r="G4" s="29" t="str">
        <x:v>The pickup message is not the place for the whole argument.</x:v>
      </x:c>
      <x:c r="H4" s="29" t="str">
        <x:v>save</x:v>
      </x:c>
      <x:c r="I4" s="29" t="str">
        <x:v>script</x:v>
      </x:c>
      <x:c r="J4" s="36" t="str">
        <x:v>Draft</x:v>
      </x:c>
      <x:c r="K4" s="29" t="str">
        <x:v>Not autobiographical</x:v>
      </x:c>
    </x:row>
    <x:row r="5" ht="66" customHeight="1">
      <x:c r="A5" s="29" t="str">
        <x:v>BTB-004</x:v>
      </x:c>
      <x:c r="B5" s="62" t="n">
        <x:v>46326</x:v>
      </x:c>
      <x:c r="C5" s="64" t="n">
        <x:v>4</x:v>
      </x:c>
      <x:c r="D5" s="29" t="n">
        <x:v>1</x:v>
      </x:c>
      <x:c r="E5" s="64" t="str">
        <x:v>P4</x:v>
      </x:c>
      <x:c r="F5" s="29" t="str">
        <x:v>Trust, Without Losing Yourself</x:v>
      </x:c>
      <x:c r="G5" s="29" t="str">
        <x:v>Missing someone and choosing them again are different decisions.</x:v>
      </x:c>
      <x:c r="H5" s="29" t="str">
        <x:v>share</x:v>
      </x:c>
      <x:c r="I5" s="29" t="str">
        <x:v>contrast</x:v>
      </x:c>
      <x:c r="J5" s="36" t="str">
        <x:v>Draft</x:v>
      </x:c>
      <x:c r="K5" s="29" t="str">
        <x:v>Not autobiographical</x:v>
      </x:c>
    </x:row>
    <x:row r="6" ht="66" customHeight="1">
      <x:c r="A6" s="29" t="str">
        <x:v>BTB-005</x:v>
      </x:c>
      <x:c r="B6" s="62" t="n">
        <x:v>46327</x:v>
      </x:c>
      <x:c r="C6" s="64" t="n">
        <x:v>5</x:v>
      </x:c>
      <x:c r="D6" s="29" t="n">
        <x:v>1</x:v>
      </x:c>
      <x:c r="E6" s="64" t="str">
        <x:v>P5</x:v>
      </x:c>
      <x:c r="F6" s="29" t="str">
        <x:v>One Useful Next Step</x:v>
      </x:c>
      <x:c r="G6" s="29" t="str">
        <x:v>Your first rebuilding plan can fit on one page.</x:v>
      </x:c>
      <x:c r="H6" s="29" t="str">
        <x:v>save</x:v>
      </x:c>
      <x:c r="I6" s="29" t="str">
        <x:v>checklist</x:v>
      </x:c>
      <x:c r="J6" s="36" t="str">
        <x:v>Draft</x:v>
      </x:c>
      <x:c r="K6" s="29" t="str">
        <x:v>Not autobiographical</x:v>
      </x:c>
    </x:row>
    <x:row r="7" ht="66" customHeight="1">
      <x:c r="A7" s="29" t="str">
        <x:v>BTB-006</x:v>
      </x:c>
      <x:c r="B7" s="62" t="n">
        <x:v>46328</x:v>
      </x:c>
      <x:c r="C7" s="64" t="n">
        <x:v>6</x:v>
      </x:c>
      <x:c r="D7" s="29" t="n">
        <x:v>1</x:v>
      </x:c>
      <x:c r="E7" s="64" t="str">
        <x:v>P1</x:v>
      </x:c>
      <x:c r="F7" s="29" t="str">
        <x:v>The Part Nobody Sees</x:v>
      </x:c>
      <x:c r="G7" s="29" t="str">
        <x:v>You can grieve a future that never happened.</x:v>
      </x:c>
      <x:c r="H7" s="29" t="str">
        <x:v>share</x:v>
      </x:c>
      <x:c r="I7" s="29" t="str">
        <x:v>editorial</x:v>
      </x:c>
      <x:c r="J7" s="36" t="str">
        <x:v>Draft</x:v>
      </x:c>
      <x:c r="K7" s="29" t="str">
        <x:v>Not autobiographical</x:v>
      </x:c>
    </x:row>
    <x:row r="8" ht="66" customHeight="1">
      <x:c r="A8" s="29" t="str">
        <x:v>BTB-007</x:v>
      </x:c>
      <x:c r="B8" s="62" t="n">
        <x:v>46329</x:v>
      </x:c>
      <x:c r="C8" s="64" t="n">
        <x:v>7</x:v>
      </x:c>
      <x:c r="D8" s="29" t="n">
        <x:v>1</x:v>
      </x:c>
      <x:c r="E8" s="64" t="str">
        <x:v>P2</x:v>
      </x:c>
      <x:c r="F8" s="29" t="str">
        <x:v>When the Day Gets Heavy</x:v>
      </x:c>
      <x:c r="G8" s="29" t="str">
        <x:v>You do not need a polished explanation to ask for company.</x:v>
      </x:c>
      <x:c r="H8" s="29" t="str">
        <x:v>save</x:v>
      </x:c>
      <x:c r="I8" s="29" t="str">
        <x:v>script</x:v>
      </x:c>
      <x:c r="J8" s="36" t="str">
        <x:v>Draft</x:v>
      </x:c>
      <x:c r="K8" s="29" t="str">
        <x:v>Not autobiographical</x:v>
      </x:c>
    </x:row>
    <x:row r="9" ht="66" customHeight="1">
      <x:c r="A9" s="29" t="str">
        <x:v>BTB-008</x:v>
      </x:c>
      <x:c r="B9" s="62" t="n">
        <x:v>46330</x:v>
      </x:c>
      <x:c r="C9" s="64" t="n">
        <x:v>8</x:v>
      </x:c>
      <x:c r="D9" s="29" t="n">
        <x:v>1</x:v>
      </x:c>
      <x:c r="E9" s="64" t="str">
        <x:v>P5</x:v>
      </x:c>
      <x:c r="F9" s="29" t="str">
        <x:v>One Useful Next Step</x:v>
      </x:c>
      <x:c r="G9" s="29" t="str">
        <x:v>Open the bill before turning it into a verdict on yourself.</x:v>
      </x:c>
      <x:c r="H9" s="29" t="str">
        <x:v>save</x:v>
      </x:c>
      <x:c r="I9" s="29" t="str">
        <x:v>checklist</x:v>
      </x:c>
      <x:c r="J9" s="36" t="str">
        <x:v>Draft</x:v>
      </x:c>
      <x:c r="K9" s="29" t="str">
        <x:v>Not autobiographical</x:v>
      </x:c>
    </x:row>
    <x:row r="10" ht="66" customHeight="1">
      <x:c r="A10" s="29" t="str">
        <x:v>BTB-009</x:v>
      </x:c>
      <x:c r="B10" s="62" t="n">
        <x:v>46331</x:v>
      </x:c>
      <x:c r="C10" s="64" t="n">
        <x:v>9</x:v>
      </x:c>
      <x:c r="D10" s="29" t="n">
        <x:v>1</x:v>
      </x:c>
      <x:c r="E10" s="64" t="str">
        <x:v>P3</x:v>
      </x:c>
      <x:c r="F10" s="29" t="str">
        <x:v>Keep the Child Out of the Conflict</x:v>
      </x:c>
      <x:c r="G10" s="29" t="str">
        <x:v>Your child should not have to deliver the message.</x:v>
      </x:c>
      <x:c r="H10" s="29" t="str">
        <x:v>share</x:v>
      </x:c>
      <x:c r="I10" s="29" t="str">
        <x:v>editorial</x:v>
      </x:c>
      <x:c r="J10" s="36" t="str">
        <x:v>Draft</x:v>
      </x:c>
      <x:c r="K10" s="29" t="str">
        <x:v>Not autobiographical</x:v>
      </x:c>
    </x:row>
    <x:row r="11" ht="66" customHeight="1">
      <x:c r="A11" s="29" t="str">
        <x:v>BTB-010</x:v>
      </x:c>
      <x:c r="B11" s="62" t="n">
        <x:v>46332</x:v>
      </x:c>
      <x:c r="C11" s="64" t="n">
        <x:v>10</x:v>
      </x:c>
      <x:c r="D11" s="29" t="n">
        <x:v>1</x:v>
      </x:c>
      <x:c r="E11" s="64" t="str">
        <x:v>P4</x:v>
      </x:c>
      <x:c r="F11" s="29" t="str">
        <x:v>Trust, Without Losing Yourself</x:v>
      </x:c>
      <x:c r="G11" s="29" t="str">
        <x:v>A boundary needs an action, not a longer speech.</x:v>
      </x:c>
      <x:c r="H11" s="29" t="str">
        <x:v>save</x:v>
      </x:c>
      <x:c r="I11" s="29" t="str">
        <x:v>contrast</x:v>
      </x:c>
      <x:c r="J11" s="36" t="str">
        <x:v>Draft</x:v>
      </x:c>
      <x:c r="K11" s="29" t="str">
        <x:v>Not autobiographical</x:v>
      </x:c>
    </x:row>
    <x:row r="12" ht="66" customHeight="1">
      <x:c r="A12" s="29" t="str">
        <x:v>BTB-011</x:v>
      </x:c>
      <x:c r="B12" s="62" t="n">
        <x:v>46333</x:v>
      </x:c>
      <x:c r="C12" s="64" t="n">
        <x:v>11</x:v>
      </x:c>
      <x:c r="D12" s="29" t="n">
        <x:v>1</x:v>
      </x:c>
      <x:c r="E12" s="64" t="str">
        <x:v>P1</x:v>
      </x:c>
      <x:c r="F12" s="29" t="str">
        <x:v>The Part Nobody Sees</x:v>
      </x:c>
      <x:c r="G12" s="29" t="str">
        <x:v>“I should be over this” is not a useful deadline.</x:v>
      </x:c>
      <x:c r="H12" s="29" t="str">
        <x:v>share</x:v>
      </x:c>
      <x:c r="I12" s="29" t="str">
        <x:v>contrast</x:v>
      </x:c>
      <x:c r="J12" s="36" t="str">
        <x:v>Draft</x:v>
      </x:c>
      <x:c r="K12" s="29" t="str">
        <x:v>Not autobiographical</x:v>
      </x:c>
    </x:row>
    <x:row r="13" ht="66" customHeight="1">
      <x:c r="A13" s="29" t="str">
        <x:v>BTB-012</x:v>
      </x:c>
      <x:c r="B13" s="62" t="n">
        <x:v>46334</x:v>
      </x:c>
      <x:c r="C13" s="64" t="n">
        <x:v>12</x:v>
      </x:c>
      <x:c r="D13" s="29" t="n">
        <x:v>1</x:v>
      </x:c>
      <x:c r="E13" s="64" t="str">
        <x:v>P2</x:v>
      </x:c>
      <x:c r="F13" s="29" t="str">
        <x:v>When the Day Gets Heavy</x:v>
      </x:c>
      <x:c r="G13" s="29" t="str">
        <x:v>Before rereading the message for the tenth time, try this.</x:v>
      </x:c>
      <x:c r="H13" s="29" t="str">
        <x:v>save</x:v>
      </x:c>
      <x:c r="I13" s="29" t="str">
        <x:v>checklist</x:v>
      </x:c>
      <x:c r="J13" s="36" t="str">
        <x:v>Draft</x:v>
      </x:c>
      <x:c r="K13" s="29" t="str">
        <x:v>Not autobiographical</x:v>
      </x:c>
    </x:row>
    <x:row r="14" ht="66" customHeight="1">
      <x:c r="A14" s="29" t="str">
        <x:v>BTB-013</x:v>
      </x:c>
      <x:c r="B14" s="62" t="n">
        <x:v>46335</x:v>
      </x:c>
      <x:c r="C14" s="64" t="n">
        <x:v>13</x:v>
      </x:c>
      <x:c r="D14" s="29" t="n">
        <x:v>1</x:v>
      </x:c>
      <x:c r="E14" s="64" t="str">
        <x:v>P5</x:v>
      </x:c>
      <x:c r="F14" s="29" t="str">
        <x:v>One Useful Next Step</x:v>
      </x:c>
      <x:c r="G14" s="29" t="str">
        <x:v>Build a difficult-day plan before the next difficult day.</x:v>
      </x:c>
      <x:c r="H14" s="29" t="str">
        <x:v>save</x:v>
      </x:c>
      <x:c r="I14" s="29" t="str">
        <x:v>checklist</x:v>
      </x:c>
      <x:c r="J14" s="36" t="str">
        <x:v>Draft</x:v>
      </x:c>
      <x:c r="K14" s="29" t="str">
        <x:v>Not autobiographical</x:v>
      </x:c>
    </x:row>
    <x:row r="15" ht="66" customHeight="1">
      <x:c r="A15" s="29" t="str">
        <x:v>BTB-014</x:v>
      </x:c>
      <x:c r="B15" s="62" t="n">
        <x:v>46336</x:v>
      </x:c>
      <x:c r="C15" s="64" t="n">
        <x:v>14</x:v>
      </x:c>
      <x:c r="D15" s="29" t="n">
        <x:v>1</x:v>
      </x:c>
      <x:c r="E15" s="64" t="str">
        <x:v>P6</x:v>
      </x:c>
      <x:c r="F15" s="29" t="str">
        <x:v>Notes From the Rebuild</x:v>
      </x:c>
      <x:c r="G15" s="29" t="str">
        <x:v>I am not building this page from a finished life.</x:v>
      </x:c>
      <x:c r="H15" s="29" t="str">
        <x:v>follow</x:v>
      </x:c>
      <x:c r="I15" s="29" t="str">
        <x:v>letter</x:v>
      </x:c>
      <x:c r="J15" s="36" t="str">
        <x:v>Draft</x:v>
      </x:c>
      <x:c r="K15" s="29" t="str">
        <x:v>Required</x:v>
      </x:c>
    </x:row>
    <x:row r="16" ht="66" customHeight="1">
      <x:c r="A16" s="29" t="str">
        <x:v>BTB-015</x:v>
      </x:c>
      <x:c r="B16" s="62" t="n">
        <x:v>46337</x:v>
      </x:c>
      <x:c r="C16" s="64" t="n">
        <x:v>15</x:v>
      </x:c>
      <x:c r="D16" s="29" t="n">
        <x:v>1</x:v>
      </x:c>
      <x:c r="E16" s="64" t="str">
        <x:v>P3</x:v>
      </x:c>
      <x:c r="F16" s="29" t="str">
        <x:v>Keep the Child Out of the Conflict</x:v>
      </x:c>
      <x:c r="G16" s="29" t="str">
        <x:v>After a tense exchange, your child still needs an ordinary evening.</x:v>
      </x:c>
      <x:c r="H16" s="29" t="str">
        <x:v>save</x:v>
      </x:c>
      <x:c r="I16" s="29" t="str">
        <x:v>script</x:v>
      </x:c>
      <x:c r="J16" s="36" t="str">
        <x:v>Draft</x:v>
      </x:c>
      <x:c r="K16" s="29" t="str">
        <x:v>Not autobiographical</x:v>
      </x:c>
    </x:row>
    <x:row r="17" ht="66" customHeight="1">
      <x:c r="A17" s="29" t="str">
        <x:v>BTB-016</x:v>
      </x:c>
      <x:c r="B17" s="62" t="n">
        <x:v>46338</x:v>
      </x:c>
      <x:c r="C17" s="64" t="n">
        <x:v>16</x:v>
      </x:c>
      <x:c r="D17" s="29" t="n">
        <x:v>1</x:v>
      </x:c>
      <x:c r="E17" s="64" t="str">
        <x:v>P4</x:v>
      </x:c>
      <x:c r="F17" s="29" t="str">
        <x:v>Trust, Without Losing Yourself</x:v>
      </x:c>
      <x:c r="G17" s="29" t="str">
        <x:v>An apology matters. What happens afterwards matters too.</x:v>
      </x:c>
      <x:c r="H17" s="29" t="str">
        <x:v>share</x:v>
      </x:c>
      <x:c r="I17" s="29" t="str">
        <x:v>editorial</x:v>
      </x:c>
      <x:c r="J17" s="36" t="str">
        <x:v>Draft</x:v>
      </x:c>
      <x:c r="K17" s="29" t="str">
        <x:v>Not autobiographical</x:v>
      </x:c>
    </x:row>
    <x:row r="18" ht="66" customHeight="1">
      <x:c r="A18" s="29" t="str">
        <x:v>BTB-017</x:v>
      </x:c>
      <x:c r="B18" s="62" t="n">
        <x:v>46339</x:v>
      </x:c>
      <x:c r="C18" s="64" t="n">
        <x:v>17</x:v>
      </x:c>
      <x:c r="D18" s="29" t="n">
        <x:v>1</x:v>
      </x:c>
      <x:c r="E18" s="64" t="str">
        <x:v>P5</x:v>
      </x:c>
      <x:c r="F18" s="29" t="str">
        <x:v>One Useful Next Step</x:v>
      </x:c>
      <x:c r="G18" s="29" t="str">
        <x:v>You can ask for clarity at work without explaining your divorce.</x:v>
      </x:c>
      <x:c r="H18" s="29" t="str">
        <x:v>save</x:v>
      </x:c>
      <x:c r="I18" s="29" t="str">
        <x:v>script</x:v>
      </x:c>
      <x:c r="J18" s="36" t="str">
        <x:v>Draft</x:v>
      </x:c>
      <x:c r="K18" s="29" t="str">
        <x:v>Not autobiographical</x:v>
      </x:c>
    </x:row>
    <x:row r="19" ht="66" customHeight="1">
      <x:c r="A19" s="29" t="str">
        <x:v>BTB-018</x:v>
      </x:c>
      <x:c r="B19" s="62" t="n">
        <x:v>46340</x:v>
      </x:c>
      <x:c r="C19" s="64" t="n">
        <x:v>18</x:v>
      </x:c>
      <x:c r="D19" s="29" t="n">
        <x:v>1</x:v>
      </x:c>
      <x:c r="E19" s="64" t="str">
        <x:v>P1</x:v>
      </x:c>
      <x:c r="F19" s="29" t="str">
        <x:v>The Part Nobody Sees</x:v>
      </x:c>
      <x:c r="G19" s="29" t="str">
        <x:v>You are allowed to give a short answer to a personal question.</x:v>
      </x:c>
      <x:c r="H19" s="29" t="str">
        <x:v>save</x:v>
      </x:c>
      <x:c r="I19" s="29" t="str">
        <x:v>script</x:v>
      </x:c>
      <x:c r="J19" s="36" t="str">
        <x:v>Draft</x:v>
      </x:c>
      <x:c r="K19" s="29" t="str">
        <x:v>Not autobiographical</x:v>
      </x:c>
    </x:row>
    <x:row r="20" ht="66" customHeight="1">
      <x:c r="A20" s="29" t="str">
        <x:v>BTB-019</x:v>
      </x:c>
      <x:c r="B20" s="62" t="n">
        <x:v>46341</x:v>
      </x:c>
      <x:c r="C20" s="64" t="n">
        <x:v>19</x:v>
      </x:c>
      <x:c r="D20" s="29" t="n">
        <x:v>1</x:v>
      </x:c>
      <x:c r="E20" s="64" t="str">
        <x:v>P2</x:v>
      </x:c>
      <x:c r="F20" s="29" t="str">
        <x:v>When the Day Gets Heavy</x:v>
      </x:c>
      <x:c r="G20" s="29" t="str">
        <x:v>The quiet evening needs a plan, not an accusation against yourself.</x:v>
      </x:c>
      <x:c r="H20" s="29" t="str">
        <x:v>share</x:v>
      </x:c>
      <x:c r="I20" s="29" t="str">
        <x:v>editorial</x:v>
      </x:c>
      <x:c r="J20" s="36" t="str">
        <x:v>Draft</x:v>
      </x:c>
      <x:c r="K20" s="29" t="str">
        <x:v>Not autobiographical</x:v>
      </x:c>
    </x:row>
    <x:row r="21" ht="66" customHeight="1">
      <x:c r="A21" s="29" t="str">
        <x:v>BTB-020</x:v>
      </x:c>
      <x:c r="B21" s="62" t="n">
        <x:v>46342</x:v>
      </x:c>
      <x:c r="C21" s="64" t="n">
        <x:v>20</x:v>
      </x:c>
      <x:c r="D21" s="29" t="n">
        <x:v>1</x:v>
      </x:c>
      <x:c r="E21" s="64" t="str">
        <x:v>P3</x:v>
      </x:c>
      <x:c r="F21" s="29" t="str">
        <x:v>Keep the Child Out of the Conflict</x:v>
      </x:c>
      <x:c r="G21" s="29" t="str">
        <x:v>Make the handover checklist about belongings, not blame.</x:v>
      </x:c>
      <x:c r="H21" s="29" t="str">
        <x:v>save</x:v>
      </x:c>
      <x:c r="I21" s="29" t="str">
        <x:v>checklist</x:v>
      </x:c>
      <x:c r="J21" s="36" t="str">
        <x:v>Draft</x:v>
      </x:c>
      <x:c r="K21" s="29" t="str">
        <x:v>Not autobiographical</x:v>
      </x:c>
    </x:row>
    <x:row r="22" ht="66" customHeight="1">
      <x:c r="A22" s="29" t="str">
        <x:v>BTB-021</x:v>
      </x:c>
      <x:c r="B22" s="62" t="n">
        <x:v>46343</x:v>
      </x:c>
      <x:c r="C22" s="64" t="n">
        <x:v>21</x:v>
      </x:c>
      <x:c r="D22" s="29" t="n">
        <x:v>1</x:v>
      </x:c>
      <x:c r="E22" s="64" t="str">
        <x:v>P4</x:v>
      </x:c>
      <x:c r="F22" s="29" t="str">
        <x:v>Trust, Without Losing Yourself</x:v>
      </x:c>
      <x:c r="G22" s="29" t="str">
        <x:v>One delayed reply is not the whole relationship.</x:v>
      </x:c>
      <x:c r="H22" s="29" t="str">
        <x:v>share</x:v>
      </x:c>
      <x:c r="I22" s="29" t="str">
        <x:v>contrast</x:v>
      </x:c>
      <x:c r="J22" s="36" t="str">
        <x:v>Draft</x:v>
      </x:c>
      <x:c r="K22" s="29" t="str">
        <x:v>Not autobiographical</x:v>
      </x:c>
    </x:row>
    <x:row r="23" ht="66" customHeight="1">
      <x:c r="A23" s="29" t="str">
        <x:v>BTB-022</x:v>
      </x:c>
      <x:c r="B23" s="62" t="n">
        <x:v>46344</x:v>
      </x:c>
      <x:c r="C23" s="64" t="n">
        <x:v>22</x:v>
      </x:c>
      <x:c r="D23" s="29" t="n">
        <x:v>1</x:v>
      </x:c>
      <x:c r="E23" s="64" t="str">
        <x:v>P5</x:v>
      </x:c>
      <x:c r="F23" s="29" t="str">
        <x:v>One Useful Next Step</x:v>
      </x:c>
      <x:c r="G23" s="29" t="str">
        <x:v>You do not need to rebuild every room this weekend.</x:v>
      </x:c>
      <x:c r="H23" s="29" t="str">
        <x:v>save</x:v>
      </x:c>
      <x:c r="I23" s="29" t="str">
        <x:v>checklist</x:v>
      </x:c>
      <x:c r="J23" s="36" t="str">
        <x:v>Draft</x:v>
      </x:c>
      <x:c r="K23" s="29" t="str">
        <x:v>Not autobiographical</x:v>
      </x:c>
    </x:row>
    <x:row r="24" ht="66" customHeight="1">
      <x:c r="A24" s="29" t="str">
        <x:v>BTB-023</x:v>
      </x:c>
      <x:c r="B24" s="62" t="n">
        <x:v>46345</x:v>
      </x:c>
      <x:c r="C24" s="64" t="n">
        <x:v>23</x:v>
      </x:c>
      <x:c r="D24" s="29" t="n">
        <x:v>1</x:v>
      </x:c>
      <x:c r="E24" s="64" t="str">
        <x:v>P1</x:v>
      </x:c>
      <x:c r="F24" s="29" t="str">
        <x:v>The Part Nobody Sees</x:v>
      </x:c>
      <x:c r="G24" s="29" t="str">
        <x:v>Being separated does not erase the rest of your identity.</x:v>
      </x:c>
      <x:c r="H24" s="29" t="str">
        <x:v>share</x:v>
      </x:c>
      <x:c r="I24" s="29" t="str">
        <x:v>editorial</x:v>
      </x:c>
      <x:c r="J24" s="36" t="str">
        <x:v>Draft</x:v>
      </x:c>
      <x:c r="K24" s="29" t="str">
        <x:v>Not autobiographical</x:v>
      </x:c>
    </x:row>
    <x:row r="25" ht="66" customHeight="1">
      <x:c r="A25" s="29" t="str">
        <x:v>BTB-024</x:v>
      </x:c>
      <x:c r="B25" s="62" t="n">
        <x:v>46346</x:v>
      </x:c>
      <x:c r="C25" s="64" t="n">
        <x:v>24</x:v>
      </x:c>
      <x:c r="D25" s="29" t="n">
        <x:v>1</x:v>
      </x:c>
      <x:c r="E25" s="64" t="str">
        <x:v>P2</x:v>
      </x:c>
      <x:c r="F25" s="29" t="str">
        <x:v>When the Day Gets Heavy</x:v>
      </x:c>
      <x:c r="G25" s="29" t="str">
        <x:v>“I'm fine” is not your only option.</x:v>
      </x:c>
      <x:c r="H25" s="29" t="str">
        <x:v>save</x:v>
      </x:c>
      <x:c r="I25" s="29" t="str">
        <x:v>script</x:v>
      </x:c>
      <x:c r="J25" s="36" t="str">
        <x:v>Draft</x:v>
      </x:c>
      <x:c r="K25" s="29" t="str">
        <x:v>Not autobiographical</x:v>
      </x:c>
    </x:row>
    <x:row r="26" ht="66" customHeight="1">
      <x:c r="A26" s="29" t="str">
        <x:v>BTB-025</x:v>
      </x:c>
      <x:c r="B26" s="62" t="n">
        <x:v>46347</x:v>
      </x:c>
      <x:c r="C26" s="64" t="n">
        <x:v>25</x:v>
      </x:c>
      <x:c r="D26" s="29" t="n">
        <x:v>1</x:v>
      </x:c>
      <x:c r="E26" s="64" t="str">
        <x:v>P3</x:v>
      </x:c>
      <x:c r="F26" s="29" t="str">
        <x:v>Keep the Child Out of the Conflict</x:v>
      </x:c>
      <x:c r="G26" s="29" t="str">
        <x:v>Your child's good day elsewhere is not a loss for you.</x:v>
      </x:c>
      <x:c r="H26" s="29" t="str">
        <x:v>share</x:v>
      </x:c>
      <x:c r="I26" s="29" t="str">
        <x:v>editorial</x:v>
      </x:c>
      <x:c r="J26" s="36" t="str">
        <x:v>Draft</x:v>
      </x:c>
      <x:c r="K26" s="29" t="str">
        <x:v>Not autobiographical</x:v>
      </x:c>
    </x:row>
    <x:row r="27" ht="66" customHeight="1">
      <x:c r="A27" s="29" t="str">
        <x:v>BTB-026</x:v>
      </x:c>
      <x:c r="B27" s="62" t="n">
        <x:v>46348</x:v>
      </x:c>
      <x:c r="C27" s="64" t="n">
        <x:v>26</x:v>
      </x:c>
      <x:c r="D27" s="29" t="n">
        <x:v>1</x:v>
      </x:c>
      <x:c r="E27" s="64" t="str">
        <x:v>P4</x:v>
      </x:c>
      <x:c r="F27" s="29" t="str">
        <x:v>Trust, Without Losing Yourself</x:v>
      </x:c>
      <x:c r="G27" s="29" t="str">
        <x:v>Before saying yes, check what the yes will cost you.</x:v>
      </x:c>
      <x:c r="H27" s="29" t="str">
        <x:v>save</x:v>
      </x:c>
      <x:c r="I27" s="29" t="str">
        <x:v>checklist</x:v>
      </x:c>
      <x:c r="J27" s="36" t="str">
        <x:v>Draft</x:v>
      </x:c>
      <x:c r="K27" s="29" t="str">
        <x:v>Not autobiographical</x:v>
      </x:c>
    </x:row>
    <x:row r="28" ht="66" customHeight="1">
      <x:c r="A28" s="29" t="str">
        <x:v>BTB-027</x:v>
      </x:c>
      <x:c r="B28" s="62" t="n">
        <x:v>46349</x:v>
      </x:c>
      <x:c r="C28" s="64" t="n">
        <x:v>27</x:v>
      </x:c>
      <x:c r="D28" s="29" t="n">
        <x:v>1</x:v>
      </x:c>
      <x:c r="E28" s="64" t="str">
        <x:v>P5</x:v>
      </x:c>
      <x:c r="F28" s="29" t="str">
        <x:v>One Useful Next Step</x:v>
      </x:c>
      <x:c r="G28" s="29" t="str">
        <x:v>Put a finish line on today's admin.</x:v>
      </x:c>
      <x:c r="H28" s="29" t="str">
        <x:v>save</x:v>
      </x:c>
      <x:c r="I28" s="29" t="str">
        <x:v>checklist</x:v>
      </x:c>
      <x:c r="J28" s="36" t="str">
        <x:v>Draft</x:v>
      </x:c>
      <x:c r="K28" s="29" t="str">
        <x:v>Not autobiographical</x:v>
      </x:c>
    </x:row>
    <x:row r="29" ht="66" customHeight="1">
      <x:c r="A29" s="29" t="str">
        <x:v>BTB-028</x:v>
      </x:c>
      <x:c r="B29" s="62" t="n">
        <x:v>46350</x:v>
      </x:c>
      <x:c r="C29" s="64" t="n">
        <x:v>28</x:v>
      </x:c>
      <x:c r="D29" s="29" t="n">
        <x:v>1</x:v>
      </x:c>
      <x:c r="E29" s="64" t="str">
        <x:v>P1</x:v>
      </x:c>
      <x:c r="F29" s="29" t="str">
        <x:v>The Part Nobody Sees</x:v>
      </x:c>
      <x:c r="G29" s="29" t="str">
        <x:v>Relief and sadness can belong to the same decision.</x:v>
      </x:c>
      <x:c r="H29" s="29" t="str">
        <x:v>share</x:v>
      </x:c>
      <x:c r="I29" s="29" t="str">
        <x:v>editorial</x:v>
      </x:c>
      <x:c r="J29" s="36" t="str">
        <x:v>Draft</x:v>
      </x:c>
      <x:c r="K29" s="29" t="str">
        <x:v>Not autobiographical</x:v>
      </x:c>
    </x:row>
    <x:row r="30" ht="66" customHeight="1">
      <x:c r="A30" s="29" t="str">
        <x:v>BTB-029</x:v>
      </x:c>
      <x:c r="B30" s="62" t="n">
        <x:v>46351</x:v>
      </x:c>
      <x:c r="C30" s="64" t="n">
        <x:v>29</x:v>
      </x:c>
      <x:c r="D30" s="29" t="n">
        <x:v>1</x:v>
      </x:c>
      <x:c r="E30" s="64" t="str">
        <x:v>P2</x:v>
      </x:c>
      <x:c r="F30" s="29" t="str">
        <x:v>When the Day Gets Heavy</x:v>
      </x:c>
      <x:c r="G30" s="29" t="str">
        <x:v>Rest is not something you earn by reaching the end of your problems.</x:v>
      </x:c>
      <x:c r="H30" s="29" t="str">
        <x:v>save</x:v>
      </x:c>
      <x:c r="I30" s="29" t="str">
        <x:v>contrast</x:v>
      </x:c>
      <x:c r="J30" s="36" t="str">
        <x:v>Draft</x:v>
      </x:c>
      <x:c r="K30" s="29" t="str">
        <x:v>Not autobiographical</x:v>
      </x:c>
    </x:row>
    <x:row r="31" ht="66" customHeight="1">
      <x:c r="A31" s="29" t="str">
        <x:v>BTB-030</x:v>
      </x:c>
      <x:c r="B31" s="62" t="n">
        <x:v>46352</x:v>
      </x:c>
      <x:c r="C31" s="64" t="n">
        <x:v>30</x:v>
      </x:c>
      <x:c r="D31" s="29" t="n">
        <x:v>1</x:v>
      </x:c>
      <x:c r="E31" s="64" t="str">
        <x:v>P6</x:v>
      </x:c>
      <x:c r="F31" s="29" t="str">
        <x:v>Notes From the Rebuild</x:v>
      </x:c>
      <x:c r="G31" s="29" t="str">
        <x:v>This page will not turn my private life into a public trial.</x:v>
      </x:c>
      <x:c r="H31" s="29" t="str">
        <x:v>follow</x:v>
      </x:c>
      <x:c r="I31" s="29" t="str">
        <x:v>letter</x:v>
      </x:c>
      <x:c r="J31" s="36" t="str">
        <x:v>Draft</x:v>
      </x:c>
      <x:c r="K31" s="29" t="str">
        <x:v>Required</x:v>
      </x:c>
    </x:row>
    <x:row r="32" ht="66" customHeight="1">
      <x:c r="A32" s="29" t="str">
        <x:v>BTB-031</x:v>
      </x:c>
      <x:c r="B32" s="62" t="n">
        <x:v>46353</x:v>
      </x:c>
      <x:c r="C32" s="64" t="n">
        <x:v>31</x:v>
      </x:c>
      <x:c r="D32" s="29" t="n">
        <x:v>2</x:v>
      </x:c>
      <x:c r="E32" s="64" t="str">
        <x:v>P1</x:v>
      </x:c>
      <x:c r="F32" s="29" t="str">
        <x:v>The Part Nobody Sees</x:v>
      </x:c>
      <x:c r="G32" s="29" t="str">
        <x:v>You do not need to hate your old life to build a different one.</x:v>
      </x:c>
      <x:c r="H32" s="29" t="str">
        <x:v>share</x:v>
      </x:c>
      <x:c r="I32" s="29" t="str">
        <x:v>editorial</x:v>
      </x:c>
      <x:c r="J32" s="36" t="str">
        <x:v>Draft</x:v>
      </x:c>
      <x:c r="K32" s="29" t="str">
        <x:v>Not autobiographical</x:v>
      </x:c>
    </x:row>
    <x:row r="33" ht="66" customHeight="1">
      <x:c r="A33" s="29" t="str">
        <x:v>BTB-032</x:v>
      </x:c>
      <x:c r="B33" s="62" t="n">
        <x:v>46354</x:v>
      </x:c>
      <x:c r="C33" s="64" t="n">
        <x:v>32</x:v>
      </x:c>
      <x:c r="D33" s="29" t="n">
        <x:v>2</x:v>
      </x:c>
      <x:c r="E33" s="64" t="str">
        <x:v>P2</x:v>
      </x:c>
      <x:c r="F33" s="29" t="str">
        <x:v>When the Day Gets Heavy</x:v>
      </x:c>
      <x:c r="G33" s="29" t="str">
        <x:v>A feeling can be real without every thought around it being accurate.</x:v>
      </x:c>
      <x:c r="H33" s="29" t="str">
        <x:v>save</x:v>
      </x:c>
      <x:c r="I33" s="29" t="str">
        <x:v>script</x:v>
      </x:c>
      <x:c r="J33" s="36" t="str">
        <x:v>Draft</x:v>
      </x:c>
      <x:c r="K33" s="29" t="str">
        <x:v>Not autobiographical</x:v>
      </x:c>
    </x:row>
    <x:row r="34" ht="66" customHeight="1">
      <x:c r="A34" s="29" t="str">
        <x:v>BTB-033</x:v>
      </x:c>
      <x:c r="B34" s="62" t="n">
        <x:v>46355</x:v>
      </x:c>
      <x:c r="C34" s="64" t="n">
        <x:v>33</x:v>
      </x:c>
      <x:c r="D34" s="29" t="n">
        <x:v>2</x:v>
      </x:c>
      <x:c r="E34" s="64" t="str">
        <x:v>P3</x:v>
      </x:c>
      <x:c r="F34" s="29" t="str">
        <x:v>Keep the Child Out of the Conflict</x:v>
      </x:c>
      <x:c r="G34" s="29" t="str">
        <x:v>A shared calendar needs clear facts, not a perfect relationship.</x:v>
      </x:c>
      <x:c r="H34" s="29" t="str">
        <x:v>save</x:v>
      </x:c>
      <x:c r="I34" s="29" t="str">
        <x:v>checklist</x:v>
      </x:c>
      <x:c r="J34" s="36" t="str">
        <x:v>Draft</x:v>
      </x:c>
      <x:c r="K34" s="29" t="str">
        <x:v>Not autobiographical</x:v>
      </x:c>
    </x:row>
    <x:row r="35" ht="66" customHeight="1">
      <x:c r="A35" s="29" t="str">
        <x:v>BTB-034</x:v>
      </x:c>
      <x:c r="B35" s="62" t="n">
        <x:v>46356</x:v>
      </x:c>
      <x:c r="C35" s="64" t="n">
        <x:v>34</x:v>
      </x:c>
      <x:c r="D35" s="29" t="n">
        <x:v>2</x:v>
      </x:c>
      <x:c r="E35" s="64" t="str">
        <x:v>P4</x:v>
      </x:c>
      <x:c r="F35" s="29" t="str">
        <x:v>Trust, Without Losing Yourself</x:v>
      </x:c>
      <x:c r="G35" s="29" t="str">
        <x:v>Being understood is not the same as being agreed with.</x:v>
      </x:c>
      <x:c r="H35" s="29" t="str">
        <x:v>share</x:v>
      </x:c>
      <x:c r="I35" s="29" t="str">
        <x:v>contrast</x:v>
      </x:c>
      <x:c r="J35" s="36" t="str">
        <x:v>Draft</x:v>
      </x:c>
      <x:c r="K35" s="29" t="str">
        <x:v>Not autobiographical</x:v>
      </x:c>
    </x:row>
    <x:row r="36" ht="66" customHeight="1">
      <x:c r="A36" s="29" t="str">
        <x:v>BTB-035</x:v>
      </x:c>
      <x:c r="B36" s="62" t="n">
        <x:v>46357</x:v>
      </x:c>
      <x:c r="C36" s="64" t="n">
        <x:v>35</x:v>
      </x:c>
      <x:c r="D36" s="29" t="n">
        <x:v>2</x:v>
      </x:c>
      <x:c r="E36" s="64" t="str">
        <x:v>P5</x:v>
      </x:c>
      <x:c r="F36" s="29" t="str">
        <x:v>One Useful Next Step</x:v>
      </x:c>
      <x:c r="G36" s="29" t="str">
        <x:v>When your head is full, give your week fewer moving parts.</x:v>
      </x:c>
      <x:c r="H36" s="29" t="str">
        <x:v>save</x:v>
      </x:c>
      <x:c r="I36" s="29" t="str">
        <x:v>checklist</x:v>
      </x:c>
      <x:c r="J36" s="36" t="str">
        <x:v>Draft</x:v>
      </x:c>
      <x:c r="K36" s="29" t="str">
        <x:v>Not autobiographical</x:v>
      </x:c>
    </x:row>
    <x:row r="37" ht="66" customHeight="1">
      <x:c r="A37" s="29" t="str">
        <x:v>BTB-036</x:v>
      </x:c>
      <x:c r="B37" s="62" t="n">
        <x:v>46358</x:v>
      </x:c>
      <x:c r="C37" s="64" t="n">
        <x:v>36</x:v>
      </x:c>
      <x:c r="D37" s="29" t="n">
        <x:v>2</x:v>
      </x:c>
      <x:c r="E37" s="64" t="str">
        <x:v>P1</x:v>
      </x:c>
      <x:c r="F37" s="29" t="str">
        <x:v>The Part Nobody Sees</x:v>
      </x:c>
      <x:c r="G37" s="29" t="str">
        <x:v>You can change your answer when people ask about your future.</x:v>
      </x:c>
      <x:c r="H37" s="29" t="str">
        <x:v>save</x:v>
      </x:c>
      <x:c r="I37" s="29" t="str">
        <x:v>script</x:v>
      </x:c>
      <x:c r="J37" s="36" t="str">
        <x:v>Draft</x:v>
      </x:c>
      <x:c r="K37" s="29" t="str">
        <x:v>Not autobiographical</x:v>
      </x:c>
    </x:row>
    <x:row r="38" ht="66" customHeight="1">
      <x:c r="A38" s="29" t="str">
        <x:v>BTB-037</x:v>
      </x:c>
      <x:c r="B38" s="62" t="n">
        <x:v>46359</x:v>
      </x:c>
      <x:c r="C38" s="64" t="n">
        <x:v>37</x:v>
      </x:c>
      <x:c r="D38" s="29" t="n">
        <x:v>2</x:v>
      </x:c>
      <x:c r="E38" s="64" t="str">
        <x:v>P2</x:v>
      </x:c>
      <x:c r="F38" s="29" t="str">
        <x:v>When the Day Gets Heavy</x:v>
      </x:c>
      <x:c r="G38" s="29" t="str">
        <x:v>Make a list of support that is not just one person's name.</x:v>
      </x:c>
      <x:c r="H38" s="29" t="str">
        <x:v>save</x:v>
      </x:c>
      <x:c r="I38" s="29" t="str">
        <x:v>checklist</x:v>
      </x:c>
      <x:c r="J38" s="36" t="str">
        <x:v>Draft</x:v>
      </x:c>
      <x:c r="K38" s="29" t="str">
        <x:v>Not autobiographical</x:v>
      </x:c>
    </x:row>
    <x:row r="39" ht="66" customHeight="1">
      <x:c r="A39" s="29" t="str">
        <x:v>BTB-038</x:v>
      </x:c>
      <x:c r="B39" s="62" t="n">
        <x:v>46360</x:v>
      </x:c>
      <x:c r="C39" s="64" t="n">
        <x:v>38</x:v>
      </x:c>
      <x:c r="D39" s="29" t="n">
        <x:v>2</x:v>
      </x:c>
      <x:c r="E39" s="64" t="str">
        <x:v>P5</x:v>
      </x:c>
      <x:c r="F39" s="29" t="str">
        <x:v>One Useful Next Step</x:v>
      </x:c>
      <x:c r="G39" s="29" t="str">
        <x:v>A temporary job is not a permanent statement about your worth.</x:v>
      </x:c>
      <x:c r="H39" s="29" t="str">
        <x:v>share</x:v>
      </x:c>
      <x:c r="I39" s="29" t="str">
        <x:v>contrast</x:v>
      </x:c>
      <x:c r="J39" s="36" t="str">
        <x:v>Draft</x:v>
      </x:c>
      <x:c r="K39" s="29" t="str">
        <x:v>Not autobiographical</x:v>
      </x:c>
    </x:row>
    <x:row r="40" ht="66" customHeight="1">
      <x:c r="A40" s="29" t="str">
        <x:v>BTB-039</x:v>
      </x:c>
      <x:c r="B40" s="62" t="n">
        <x:v>46361</x:v>
      </x:c>
      <x:c r="C40" s="64" t="n">
        <x:v>39</x:v>
      </x:c>
      <x:c r="D40" s="29" t="n">
        <x:v>2</x:v>
      </x:c>
      <x:c r="E40" s="64" t="str">
        <x:v>P3</x:v>
      </x:c>
      <x:c r="F40" s="29" t="str">
        <x:v>Keep the Child Out of the Conflict</x:v>
      </x:c>
      <x:c r="G40" s="29" t="str">
        <x:v>“How was your time?” does not need to become an interview.</x:v>
      </x:c>
      <x:c r="H40" s="29" t="str">
        <x:v>save</x:v>
      </x:c>
      <x:c r="I40" s="29" t="str">
        <x:v>script</x:v>
      </x:c>
      <x:c r="J40" s="36" t="str">
        <x:v>Draft</x:v>
      </x:c>
      <x:c r="K40" s="29" t="str">
        <x:v>Not autobiographical</x:v>
      </x:c>
    </x:row>
    <x:row r="41" ht="66" customHeight="1">
      <x:c r="A41" s="29" t="str">
        <x:v>BTB-040</x:v>
      </x:c>
      <x:c r="B41" s="62" t="n">
        <x:v>46362</x:v>
      </x:c>
      <x:c r="C41" s="64" t="n">
        <x:v>40</x:v>
      </x:c>
      <x:c r="D41" s="29" t="n">
        <x:v>2</x:v>
      </x:c>
      <x:c r="E41" s="64" t="str">
        <x:v>P4</x:v>
      </x:c>
      <x:c r="F41" s="29" t="str">
        <x:v>Trust, Without Losing Yourself</x:v>
      </x:c>
      <x:c r="G41" s="29" t="str">
        <x:v>Before calling it trust, ask what you are actually relying on.</x:v>
      </x:c>
      <x:c r="H41" s="29" t="str">
        <x:v>save</x:v>
      </x:c>
      <x:c r="I41" s="29" t="str">
        <x:v>checklist</x:v>
      </x:c>
      <x:c r="J41" s="36" t="str">
        <x:v>Draft</x:v>
      </x:c>
      <x:c r="K41" s="29" t="str">
        <x:v>Not autobiographical</x:v>
      </x:c>
    </x:row>
    <x:row r="42" ht="66" customHeight="1">
      <x:c r="A42" s="29" t="str">
        <x:v>BTB-041</x:v>
      </x:c>
      <x:c r="B42" s="62" t="n">
        <x:v>46363</x:v>
      </x:c>
      <x:c r="C42" s="64" t="n">
        <x:v>41</x:v>
      </x:c>
      <x:c r="D42" s="29" t="n">
        <x:v>2</x:v>
      </x:c>
      <x:c r="E42" s="64" t="str">
        <x:v>P1</x:v>
      </x:c>
      <x:c r="F42" s="29" t="str">
        <x:v>The Part Nobody Sees</x:v>
      </x:c>
      <x:c r="G42" s="29" t="str">
        <x:v>Starting again can look less impressive than staying stuck looks online.</x:v>
      </x:c>
      <x:c r="H42" s="29" t="str">
        <x:v>share</x:v>
      </x:c>
      <x:c r="I42" s="29" t="str">
        <x:v>editorial</x:v>
      </x:c>
      <x:c r="J42" s="36" t="str">
        <x:v>Draft</x:v>
      </x:c>
      <x:c r="K42" s="29" t="str">
        <x:v>Not autobiographical</x:v>
      </x:c>
    </x:row>
    <x:row r="43" ht="66" customHeight="1">
      <x:c r="A43" s="29" t="str">
        <x:v>BTB-042</x:v>
      </x:c>
      <x:c r="B43" s="62" t="n">
        <x:v>46364</x:v>
      </x:c>
      <x:c r="C43" s="64" t="n">
        <x:v>42</x:v>
      </x:c>
      <x:c r="D43" s="29" t="n">
        <x:v>2</x:v>
      </x:c>
      <x:c r="E43" s="64" t="str">
        <x:v>P2</x:v>
      </x:c>
      <x:c r="F43" s="29" t="str">
        <x:v>When the Day Gets Heavy</x:v>
      </x:c>
      <x:c r="G43" s="29" t="str">
        <x:v>A hard day and a harmful pattern need different responses.</x:v>
      </x:c>
      <x:c r="H43" s="29" t="str">
        <x:v>save</x:v>
      </x:c>
      <x:c r="I43" s="29" t="str">
        <x:v>contrast</x:v>
      </x:c>
      <x:c r="J43" s="36" t="str">
        <x:v>Draft</x:v>
      </x:c>
      <x:c r="K43" s="29" t="str">
        <x:v>Not autobiographical</x:v>
      </x:c>
    </x:row>
    <x:row r="44" ht="66" customHeight="1">
      <x:c r="A44" s="29" t="str">
        <x:v>BTB-043</x:v>
      </x:c>
      <x:c r="B44" s="62" t="n">
        <x:v>46365</x:v>
      </x:c>
      <x:c r="C44" s="64" t="n">
        <x:v>43</x:v>
      </x:c>
      <x:c r="D44" s="29" t="n">
        <x:v>2</x:v>
      </x:c>
      <x:c r="E44" s="64" t="str">
        <x:v>P5</x:v>
      </x:c>
      <x:c r="F44" s="29" t="str">
        <x:v>One Useful Next Step</x:v>
      </x:c>
      <x:c r="G44" s="29" t="str">
        <x:v>Rebuild the week around the commitments you already have.</x:v>
      </x:c>
      <x:c r="H44" s="29" t="str">
        <x:v>save</x:v>
      </x:c>
      <x:c r="I44" s="29" t="str">
        <x:v>checklist</x:v>
      </x:c>
      <x:c r="J44" s="36" t="str">
        <x:v>Draft</x:v>
      </x:c>
      <x:c r="K44" s="29" t="str">
        <x:v>Not autobiographical</x:v>
      </x:c>
    </x:row>
    <x:row r="45" ht="66" customHeight="1">
      <x:c r="A45" s="29" t="str">
        <x:v>BTB-044</x:v>
      </x:c>
      <x:c r="B45" s="62" t="n">
        <x:v>46366</x:v>
      </x:c>
      <x:c r="C45" s="64" t="n">
        <x:v>44</x:v>
      </x:c>
      <x:c r="D45" s="29" t="n">
        <x:v>2</x:v>
      </x:c>
      <x:c r="E45" s="64" t="str">
        <x:v>P6</x:v>
      </x:c>
      <x:c r="F45" s="29" t="str">
        <x:v>Notes From the Rebuild</x:v>
      </x:c>
      <x:c r="G45" s="29" t="str">
        <x:v>Work and money belong in an honest rebuilding story.</x:v>
      </x:c>
      <x:c r="H45" s="29" t="str">
        <x:v>follow</x:v>
      </x:c>
      <x:c r="I45" s="29" t="str">
        <x:v>letter</x:v>
      </x:c>
      <x:c r="J45" s="36" t="str">
        <x:v>Draft</x:v>
      </x:c>
      <x:c r="K45" s="29" t="str">
        <x:v>Required</x:v>
      </x:c>
    </x:row>
    <x:row r="46" ht="66" customHeight="1">
      <x:c r="A46" s="29" t="str">
        <x:v>BTB-045</x:v>
      </x:c>
      <x:c r="B46" s="62" t="n">
        <x:v>46367</x:v>
      </x:c>
      <x:c r="C46" s="64" t="n">
        <x:v>45</x:v>
      </x:c>
      <x:c r="D46" s="29" t="n">
        <x:v>2</x:v>
      </x:c>
      <x:c r="E46" s="64" t="str">
        <x:v>P3</x:v>
      </x:c>
      <x:c r="F46" s="29" t="str">
        <x:v>Keep the Child Out of the Conflict</x:v>
      </x:c>
      <x:c r="G46" s="29" t="str">
        <x:v>An ordinary afternoon can be meaningful parenting time.</x:v>
      </x:c>
      <x:c r="H46" s="29" t="str">
        <x:v>share</x:v>
      </x:c>
      <x:c r="I46" s="29" t="str">
        <x:v>editorial</x:v>
      </x:c>
      <x:c r="J46" s="36" t="str">
        <x:v>Draft</x:v>
      </x:c>
      <x:c r="K46" s="29" t="str">
        <x:v>Not autobiographical</x:v>
      </x:c>
    </x:row>
    <x:row r="47" ht="66" customHeight="1">
      <x:c r="A47" s="29" t="str">
        <x:v>BTB-046</x:v>
      </x:c>
      <x:c r="B47" s="62" t="n">
        <x:v>46368</x:v>
      </x:c>
      <x:c r="C47" s="64" t="n">
        <x:v>46</x:v>
      </x:c>
      <x:c r="D47" s="29" t="n">
        <x:v>2</x:v>
      </x:c>
      <x:c r="E47" s="64" t="str">
        <x:v>P4</x:v>
      </x:c>
      <x:c r="F47" s="29" t="str">
        <x:v>Trust, Without Losing Yourself</x:v>
      </x:c>
      <x:c r="G47" s="29" t="str">
        <x:v>“I need some space” works better with a little clarity.</x:v>
      </x:c>
      <x:c r="H47" s="29" t="str">
        <x:v>save</x:v>
      </x:c>
      <x:c r="I47" s="29" t="str">
        <x:v>script</x:v>
      </x:c>
      <x:c r="J47" s="36" t="str">
        <x:v>Draft</x:v>
      </x:c>
      <x:c r="K47" s="29" t="str">
        <x:v>Not autobiographical</x:v>
      </x:c>
    </x:row>
    <x:row r="48" ht="66" customHeight="1">
      <x:c r="A48" s="29" t="str">
        <x:v>BTB-047</x:v>
      </x:c>
      <x:c r="B48" s="62" t="n">
        <x:v>46369</x:v>
      </x:c>
      <x:c r="C48" s="64" t="n">
        <x:v>47</x:v>
      </x:c>
      <x:c r="D48" s="29" t="n">
        <x:v>2</x:v>
      </x:c>
      <x:c r="E48" s="64" t="str">
        <x:v>P5</x:v>
      </x:c>
      <x:c r="F48" s="29" t="str">
        <x:v>One Useful Next Step</x:v>
      </x:c>
      <x:c r="G48" s="29" t="str">
        <x:v>Keep the document. Give it a name you can find later.</x:v>
      </x:c>
      <x:c r="H48" s="29" t="str">
        <x:v>save</x:v>
      </x:c>
      <x:c r="I48" s="29" t="str">
        <x:v>checklist</x:v>
      </x:c>
      <x:c r="J48" s="36" t="str">
        <x:v>Draft</x:v>
      </x:c>
      <x:c r="K48" s="29" t="str">
        <x:v>Not autobiographical</x:v>
      </x:c>
    </x:row>
    <x:row r="49" ht="66" customHeight="1">
      <x:c r="A49" s="29" t="str">
        <x:v>BTB-048</x:v>
      </x:c>
      <x:c r="B49" s="62" t="n">
        <x:v>46370</x:v>
      </x:c>
      <x:c r="C49" s="64" t="n">
        <x:v>48</x:v>
      </x:c>
      <x:c r="D49" s="29" t="n">
        <x:v>2</x:v>
      </x:c>
      <x:c r="E49" s="64" t="str">
        <x:v>P1</x:v>
      </x:c>
      <x:c r="F49" s="29" t="str">
        <x:v>The Part Nobody Sees</x:v>
      </x:c>
      <x:c r="G49" s="29" t="str">
        <x:v>You can be proud of surviving and tired of just surviving.</x:v>
      </x:c>
      <x:c r="H49" s="29" t="str">
        <x:v>share</x:v>
      </x:c>
      <x:c r="I49" s="29" t="str">
        <x:v>contrast</x:v>
      </x:c>
      <x:c r="J49" s="36" t="str">
        <x:v>Draft</x:v>
      </x:c>
      <x:c r="K49" s="29" t="str">
        <x:v>Not autobiographical</x:v>
      </x:c>
    </x:row>
    <x:row r="50" ht="66" customHeight="1">
      <x:c r="A50" s="29" t="str">
        <x:v>BTB-049</x:v>
      </x:c>
      <x:c r="B50" s="62" t="n">
        <x:v>46371</x:v>
      </x:c>
      <x:c r="C50" s="64" t="n">
        <x:v>49</x:v>
      </x:c>
      <x:c r="D50" s="29" t="n">
        <x:v>2</x:v>
      </x:c>
      <x:c r="E50" s="64" t="str">
        <x:v>P2</x:v>
      </x:c>
      <x:c r="F50" s="29" t="str">
        <x:v>When the Day Gets Heavy</x:v>
      </x:c>
      <x:c r="G50" s="29" t="str">
        <x:v>Give yourself an option other than checking their profile again.</x:v>
      </x:c>
      <x:c r="H50" s="29" t="str">
        <x:v>save</x:v>
      </x:c>
      <x:c r="I50" s="29" t="str">
        <x:v>checklist</x:v>
      </x:c>
      <x:c r="J50" s="36" t="str">
        <x:v>Draft</x:v>
      </x:c>
      <x:c r="K50" s="29" t="str">
        <x:v>Not autobiographical</x:v>
      </x:c>
    </x:row>
    <x:row r="51" ht="66" customHeight="1">
      <x:c r="A51" s="29" t="str">
        <x:v>BTB-050</x:v>
      </x:c>
      <x:c r="B51" s="62" t="n">
        <x:v>46372</x:v>
      </x:c>
      <x:c r="C51" s="64" t="n">
        <x:v>50</x:v>
      </x:c>
      <x:c r="D51" s="29" t="n">
        <x:v>2</x:v>
      </x:c>
      <x:c r="E51" s="64" t="str">
        <x:v>P3</x:v>
      </x:c>
      <x:c r="F51" s="29" t="str">
        <x:v>Keep the Child Out of the Conflict</x:v>
      </x:c>
      <x:c r="G51" s="29" t="str">
        <x:v>You can acknowledge your child's feelings without criticising the other parent.</x:v>
      </x:c>
      <x:c r="H51" s="29" t="str">
        <x:v>save</x:v>
      </x:c>
      <x:c r="I51" s="29" t="str">
        <x:v>script</x:v>
      </x:c>
      <x:c r="J51" s="36" t="str">
        <x:v>Draft</x:v>
      </x:c>
      <x:c r="K51" s="29" t="str">
        <x:v>Not autobiographical</x:v>
      </x:c>
    </x:row>
    <x:row r="52" ht="66" customHeight="1">
      <x:c r="A52" s="29" t="str">
        <x:v>BTB-051</x:v>
      </x:c>
      <x:c r="B52" s="62" t="n">
        <x:v>46373</x:v>
      </x:c>
      <x:c r="C52" s="64" t="n">
        <x:v>51</x:v>
      </x:c>
      <x:c r="D52" s="29" t="n">
        <x:v>2</x:v>
      </x:c>
      <x:c r="E52" s="64" t="str">
        <x:v>P4</x:v>
      </x:c>
      <x:c r="F52" s="29" t="str">
        <x:v>Trust, Without Losing Yourself</x:v>
      </x:c>
      <x:c r="G52" s="29" t="str">
        <x:v>Consistency is easier to understand than a promise of forever.</x:v>
      </x:c>
      <x:c r="H52" s="29" t="str">
        <x:v>share</x:v>
      </x:c>
      <x:c r="I52" s="29" t="str">
        <x:v>editorial</x:v>
      </x:c>
      <x:c r="J52" s="36" t="str">
        <x:v>Draft</x:v>
      </x:c>
      <x:c r="K52" s="29" t="str">
        <x:v>Not autobiographical</x:v>
      </x:c>
    </x:row>
    <x:row r="53" ht="66" customHeight="1">
      <x:c r="A53" s="29" t="str">
        <x:v>BTB-052</x:v>
      </x:c>
      <x:c r="B53" s="62" t="n">
        <x:v>46374</x:v>
      </x:c>
      <x:c r="C53" s="64" t="n">
        <x:v>52</x:v>
      </x:c>
      <x:c r="D53" s="29" t="n">
        <x:v>2</x:v>
      </x:c>
      <x:c r="E53" s="64" t="str">
        <x:v>P5</x:v>
      </x:c>
      <x:c r="F53" s="29" t="str">
        <x:v>One Useful Next Step</x:v>
      </x:c>
      <x:c r="G53" s="29" t="str">
        <x:v>A career setback needs a next action, not a new identity.</x:v>
      </x:c>
      <x:c r="H53" s="29" t="str">
        <x:v>save</x:v>
      </x:c>
      <x:c r="I53" s="29" t="str">
        <x:v>checklist</x:v>
      </x:c>
      <x:c r="J53" s="36" t="str">
        <x:v>Draft</x:v>
      </x:c>
      <x:c r="K53" s="29" t="str">
        <x:v>Not autobiographical</x:v>
      </x:c>
    </x:row>
    <x:row r="54" ht="66" customHeight="1">
      <x:c r="A54" s="29" t="str">
        <x:v>BTB-053</x:v>
      </x:c>
      <x:c r="B54" s="62" t="n">
        <x:v>46375</x:v>
      </x:c>
      <x:c r="C54" s="64" t="n">
        <x:v>53</x:v>
      </x:c>
      <x:c r="D54" s="29" t="n">
        <x:v>2</x:v>
      </x:c>
      <x:c r="E54" s="64" t="str">
        <x:v>P1</x:v>
      </x:c>
      <x:c r="F54" s="29" t="str">
        <x:v>The Part Nobody Sees</x:v>
      </x:c>
      <x:c r="G54" s="29" t="str">
        <x:v>A family gathering is not an obligation to defend your history.</x:v>
      </x:c>
      <x:c r="H54" s="29" t="str">
        <x:v>save</x:v>
      </x:c>
      <x:c r="I54" s="29" t="str">
        <x:v>script</x:v>
      </x:c>
      <x:c r="J54" s="36" t="str">
        <x:v>Draft</x:v>
      </x:c>
      <x:c r="K54" s="29" t="str">
        <x:v>Not autobiographical</x:v>
      </x:c>
    </x:row>
    <x:row r="55" ht="66" customHeight="1">
      <x:c r="A55" s="29" t="str">
        <x:v>BTB-054</x:v>
      </x:c>
      <x:c r="B55" s="62" t="n">
        <x:v>46376</x:v>
      </x:c>
      <x:c r="C55" s="64" t="n">
        <x:v>54</x:v>
      </x:c>
      <x:c r="D55" s="29" t="n">
        <x:v>2</x:v>
      </x:c>
      <x:c r="E55" s="64" t="str">
        <x:v>P2</x:v>
      </x:c>
      <x:c r="F55" s="29" t="str">
        <x:v>When the Day Gets Heavy</x:v>
      </x:c>
      <x:c r="G55" s="29" t="str">
        <x:v>You can laugh without proving that the difficult season is over.</x:v>
      </x:c>
      <x:c r="H55" s="29" t="str">
        <x:v>share</x:v>
      </x:c>
      <x:c r="I55" s="29" t="str">
        <x:v>contrast</x:v>
      </x:c>
      <x:c r="J55" s="36" t="str">
        <x:v>Draft</x:v>
      </x:c>
      <x:c r="K55" s="29" t="str">
        <x:v>Not autobiographical</x:v>
      </x:c>
    </x:row>
    <x:row r="56" ht="66" customHeight="1">
      <x:c r="A56" s="29" t="str">
        <x:v>BTB-055</x:v>
      </x:c>
      <x:c r="B56" s="62" t="n">
        <x:v>46377</x:v>
      </x:c>
      <x:c r="C56" s="64" t="n">
        <x:v>55</x:v>
      </x:c>
      <x:c r="D56" s="29" t="n">
        <x:v>2</x:v>
      </x:c>
      <x:c r="E56" s="64" t="str">
        <x:v>P3</x:v>
      </x:c>
      <x:c r="F56" s="29" t="str">
        <x:v>Keep the Child Out of the Conflict</x:v>
      </x:c>
      <x:c r="G56" s="29" t="str">
        <x:v>A child's question does not require the adult version of the answer.</x:v>
      </x:c>
      <x:c r="H56" s="29" t="str">
        <x:v>save</x:v>
      </x:c>
      <x:c r="I56" s="29" t="str">
        <x:v>checklist</x:v>
      </x:c>
      <x:c r="J56" s="36" t="str">
        <x:v>Draft</x:v>
      </x:c>
      <x:c r="K56" s="29" t="str">
        <x:v>Not autobiographical</x:v>
      </x:c>
    </x:row>
    <x:row r="57" ht="66" customHeight="1">
      <x:c r="A57" s="29" t="str">
        <x:v>BTB-056</x:v>
      </x:c>
      <x:c r="B57" s="62" t="n">
        <x:v>46378</x:v>
      </x:c>
      <x:c r="C57" s="64" t="n">
        <x:v>56</x:v>
      </x:c>
      <x:c r="D57" s="29" t="n">
        <x:v>2</x:v>
      </x:c>
      <x:c r="E57" s="64" t="str">
        <x:v>P4</x:v>
      </x:c>
      <x:c r="F57" s="29" t="str">
        <x:v>Trust, Without Losing Yourself</x:v>
      </x:c>
      <x:c r="G57" s="29" t="str">
        <x:v>Being needed is not the only way to be close to someone.</x:v>
      </x:c>
      <x:c r="H57" s="29" t="str">
        <x:v>save</x:v>
      </x:c>
      <x:c r="I57" s="29" t="str">
        <x:v>contrast</x:v>
      </x:c>
      <x:c r="J57" s="36" t="str">
        <x:v>Draft</x:v>
      </x:c>
      <x:c r="K57" s="29" t="str">
        <x:v>Not autobiographical</x:v>
      </x:c>
    </x:row>
    <x:row r="58" ht="66" customHeight="1">
      <x:c r="A58" s="29" t="str">
        <x:v>BTB-057</x:v>
      </x:c>
      <x:c r="B58" s="62" t="n">
        <x:v>46379</x:v>
      </x:c>
      <x:c r="C58" s="64" t="n">
        <x:v>57</x:v>
      </x:c>
      <x:c r="D58" s="29" t="n">
        <x:v>2</x:v>
      </x:c>
      <x:c r="E58" s="64" t="str">
        <x:v>P5</x:v>
      </x:c>
      <x:c r="F58" s="29" t="str">
        <x:v>One Useful Next Step</x:v>
      </x:c>
      <x:c r="G58" s="29" t="str">
        <x:v>Put your future plans in a queue, not all on today's calendar.</x:v>
      </x:c>
      <x:c r="H58" s="29" t="str">
        <x:v>save</x:v>
      </x:c>
      <x:c r="I58" s="29" t="str">
        <x:v>checklist</x:v>
      </x:c>
      <x:c r="J58" s="36" t="str">
        <x:v>Draft</x:v>
      </x:c>
      <x:c r="K58" s="29" t="str">
        <x:v>Not autobiographical</x:v>
      </x:c>
    </x:row>
    <x:row r="59" ht="66" customHeight="1">
      <x:c r="A59" s="29" t="str">
        <x:v>BTB-058</x:v>
      </x:c>
      <x:c r="B59" s="62" t="n">
        <x:v>46380</x:v>
      </x:c>
      <x:c r="C59" s="64" t="n">
        <x:v>58</x:v>
      </x:c>
      <x:c r="D59" s="29" t="n">
        <x:v>2</x:v>
      </x:c>
      <x:c r="E59" s="64" t="str">
        <x:v>P1</x:v>
      </x:c>
      <x:c r="F59" s="29" t="str">
        <x:v>The Part Nobody Sees</x:v>
      </x:c>
      <x:c r="G59" s="29" t="str">
        <x:v>You are not starting from nothing, even when much has changed.</x:v>
      </x:c>
      <x:c r="H59" s="29" t="str">
        <x:v>share</x:v>
      </x:c>
      <x:c r="I59" s="29" t="str">
        <x:v>editorial</x:v>
      </x:c>
      <x:c r="J59" s="36" t="str">
        <x:v>Draft</x:v>
      </x:c>
      <x:c r="K59" s="29" t="str">
        <x:v>Not autobiographical</x:v>
      </x:c>
    </x:row>
    <x:row r="60" ht="66" customHeight="1">
      <x:c r="A60" s="29" t="str">
        <x:v>BTB-059</x:v>
      </x:c>
      <x:c r="B60" s="62" t="n">
        <x:v>46381</x:v>
      </x:c>
      <x:c r="C60" s="64" t="n">
        <x:v>59</x:v>
      </x:c>
      <x:c r="D60" s="29" t="n">
        <x:v>2</x:v>
      </x:c>
      <x:c r="E60" s="64" t="str">
        <x:v>P2</x:v>
      </x:c>
      <x:c r="F60" s="29" t="str">
        <x:v>When the Day Gets Heavy</x:v>
      </x:c>
      <x:c r="G60" s="29" t="str">
        <x:v>When advice feels like pressure, name the help you need.</x:v>
      </x:c>
      <x:c r="H60" s="29" t="str">
        <x:v>save</x:v>
      </x:c>
      <x:c r="I60" s="29" t="str">
        <x:v>script</x:v>
      </x:c>
      <x:c r="J60" s="36" t="str">
        <x:v>Draft</x:v>
      </x:c>
      <x:c r="K60" s="29" t="str">
        <x:v>Not autobiographical</x:v>
      </x:c>
    </x:row>
    <x:row r="61" ht="66" customHeight="1">
      <x:c r="A61" s="29" t="str">
        <x:v>BTB-060</x:v>
      </x:c>
      <x:c r="B61" s="62" t="n">
        <x:v>46382</x:v>
      </x:c>
      <x:c r="C61" s="64" t="n">
        <x:v>60</x:v>
      </x:c>
      <x:c r="D61" s="29" t="n">
        <x:v>2</x:v>
      </x:c>
      <x:c r="E61" s="64" t="str">
        <x:v>P6</x:v>
      </x:c>
      <x:c r="F61" s="29" t="str">
        <x:v>Notes From the Rebuild</x:v>
      </x:c>
      <x:c r="G61" s="29" t="str">
        <x:v>I want this page to leave you with more than a sad sentence.</x:v>
      </x:c>
      <x:c r="H61" s="29" t="str">
        <x:v>follow</x:v>
      </x:c>
      <x:c r="I61" s="29" t="str">
        <x:v>letter</x:v>
      </x:c>
      <x:c r="J61" s="36" t="str">
        <x:v>Draft</x:v>
      </x:c>
      <x:c r="K61" s="29" t="str">
        <x:v>Required</x:v>
      </x:c>
    </x:row>
    <x:row r="62" ht="66" customHeight="1">
      <x:c r="A62" s="29" t="str">
        <x:v>BTB-061</x:v>
      </x:c>
      <x:c r="B62" s="62" t="n">
        <x:v>46383</x:v>
      </x:c>
      <x:c r="C62" s="64" t="n">
        <x:v>61</x:v>
      </x:c>
      <x:c r="D62" s="29" t="n">
        <x:v>3</x:v>
      </x:c>
      <x:c r="E62" s="64" t="str">
        <x:v>P1</x:v>
      </x:c>
      <x:c r="F62" s="29" t="str">
        <x:v>The Part Nobody Sees</x:v>
      </x:c>
      <x:c r="G62" s="29" t="str">
        <x:v>You can own your part without taking responsibility for everything.</x:v>
      </x:c>
      <x:c r="H62" s="29" t="str">
        <x:v>share</x:v>
      </x:c>
      <x:c r="I62" s="29" t="str">
        <x:v>contrast</x:v>
      </x:c>
      <x:c r="J62" s="36" t="str">
        <x:v>Draft</x:v>
      </x:c>
      <x:c r="K62" s="29" t="str">
        <x:v>Not autobiographical</x:v>
      </x:c>
    </x:row>
    <x:row r="63" ht="66" customHeight="1">
      <x:c r="A63" s="29" t="str">
        <x:v>BTB-062</x:v>
      </x:c>
      <x:c r="B63" s="62" t="n">
        <x:v>46384</x:v>
      </x:c>
      <x:c r="C63" s="64" t="n">
        <x:v>62</x:v>
      </x:c>
      <x:c r="D63" s="29" t="n">
        <x:v>3</x:v>
      </x:c>
      <x:c r="E63" s="64" t="str">
        <x:v>P2</x:v>
      </x:c>
      <x:c r="F63" s="29" t="str">
        <x:v>When the Day Gets Heavy</x:v>
      </x:c>
      <x:c r="G63" s="29" t="str">
        <x:v>A setback needs a review, not an announcement that nothing works.</x:v>
      </x:c>
      <x:c r="H63" s="29" t="str">
        <x:v>save</x:v>
      </x:c>
      <x:c r="I63" s="29" t="str">
        <x:v>checklist</x:v>
      </x:c>
      <x:c r="J63" s="36" t="str">
        <x:v>Draft</x:v>
      </x:c>
      <x:c r="K63" s="29" t="str">
        <x:v>Not autobiographical</x:v>
      </x:c>
    </x:row>
    <x:row r="64" ht="66" customHeight="1">
      <x:c r="A64" s="29" t="str">
        <x:v>BTB-063</x:v>
      </x:c>
      <x:c r="B64" s="62" t="n">
        <x:v>46385</x:v>
      </x:c>
      <x:c r="C64" s="64" t="n">
        <x:v>63</x:v>
      </x:c>
      <x:c r="D64" s="29" t="n">
        <x:v>3</x:v>
      </x:c>
      <x:c r="E64" s="64" t="str">
        <x:v>P3</x:v>
      </x:c>
      <x:c r="F64" s="29" t="str">
        <x:v>Keep the Child Out of the Conflict</x:v>
      </x:c>
      <x:c r="G64" s="29" t="str">
        <x:v>You can apologise to your child without asking them to comfort you.</x:v>
      </x:c>
      <x:c r="H64" s="29" t="str">
        <x:v>save</x:v>
      </x:c>
      <x:c r="I64" s="29" t="str">
        <x:v>script</x:v>
      </x:c>
      <x:c r="J64" s="36" t="str">
        <x:v>Draft</x:v>
      </x:c>
      <x:c r="K64" s="29" t="str">
        <x:v>Not autobiographical</x:v>
      </x:c>
    </x:row>
    <x:row r="65" ht="66" customHeight="1">
      <x:c r="A65" s="29" t="str">
        <x:v>BTB-064</x:v>
      </x:c>
      <x:c r="B65" s="62" t="n">
        <x:v>46386</x:v>
      </x:c>
      <x:c r="C65" s="64" t="n">
        <x:v>64</x:v>
      </x:c>
      <x:c r="D65" s="29" t="n">
        <x:v>3</x:v>
      </x:c>
      <x:c r="E65" s="64" t="str">
        <x:v>P4</x:v>
      </x:c>
      <x:c r="F65" s="29" t="str">
        <x:v>Trust, Without Losing Yourself</x:v>
      </x:c>
      <x:c r="G65" s="29" t="str">
        <x:v>A clear request is not a demand for someone to read your mind.</x:v>
      </x:c>
      <x:c r="H65" s="29" t="str">
        <x:v>save</x:v>
      </x:c>
      <x:c r="I65" s="29" t="str">
        <x:v>script</x:v>
      </x:c>
      <x:c r="J65" s="36" t="str">
        <x:v>Draft</x:v>
      </x:c>
      <x:c r="K65" s="29" t="str">
        <x:v>Not autobiographical</x:v>
      </x:c>
    </x:row>
    <x:row r="66" ht="66" customHeight="1">
      <x:c r="A66" s="29" t="str">
        <x:v>BTB-065</x:v>
      </x:c>
      <x:c r="B66" s="62" t="n">
        <x:v>46387</x:v>
      </x:c>
      <x:c r="C66" s="64" t="n">
        <x:v>65</x:v>
      </x:c>
      <x:c r="D66" s="29" t="n">
        <x:v>3</x:v>
      </x:c>
      <x:c r="E66" s="64" t="str">
        <x:v>P5</x:v>
      </x:c>
      <x:c r="F66" s="29" t="str">
        <x:v>One Useful Next Step</x:v>
      </x:c>
      <x:c r="G66" s="29" t="str">
        <x:v>The new year does not need twelve new versions of you.</x:v>
      </x:c>
      <x:c r="H66" s="29" t="str">
        <x:v>save</x:v>
      </x:c>
      <x:c r="I66" s="29" t="str">
        <x:v>checklist</x:v>
      </x:c>
      <x:c r="J66" s="36" t="str">
        <x:v>Draft</x:v>
      </x:c>
      <x:c r="K66" s="29" t="str">
        <x:v>Not autobiographical</x:v>
      </x:c>
    </x:row>
    <x:row r="67" ht="66" customHeight="1">
      <x:c r="A67" s="29" t="str">
        <x:v>BTB-066</x:v>
      </x:c>
      <x:c r="B67" s="62" t="n">
        <x:v>46388</x:v>
      </x:c>
      <x:c r="C67" s="64" t="n">
        <x:v>66</x:v>
      </x:c>
      <x:c r="D67" s="29" t="n">
        <x:v>3</x:v>
      </x:c>
      <x:c r="E67" s="64" t="str">
        <x:v>P1</x:v>
      </x:c>
      <x:c r="F67" s="29" t="str">
        <x:v>The Part Nobody Sees</x:v>
      </x:c>
      <x:c r="G67" s="29" t="str">
        <x:v>You do not need to become a different person by Monday.</x:v>
      </x:c>
      <x:c r="H67" s="29" t="str">
        <x:v>share</x:v>
      </x:c>
      <x:c r="I67" s="29" t="str">
        <x:v>editorial</x:v>
      </x:c>
      <x:c r="J67" s="36" t="str">
        <x:v>Draft</x:v>
      </x:c>
      <x:c r="K67" s="29" t="str">
        <x:v>Not autobiographical</x:v>
      </x:c>
    </x:row>
    <x:row r="68" ht="66" customHeight="1">
      <x:c r="A68" s="29" t="str">
        <x:v>BTB-067</x:v>
      </x:c>
      <x:c r="B68" s="62" t="n">
        <x:v>46389</x:v>
      </x:c>
      <x:c r="C68" s="64" t="n">
        <x:v>67</x:v>
      </x:c>
      <x:c r="D68" s="29" t="n">
        <x:v>3</x:v>
      </x:c>
      <x:c r="E68" s="64" t="str">
        <x:v>P2</x:v>
      </x:c>
      <x:c r="F68" s="29" t="str">
        <x:v>When the Day Gets Heavy</x:v>
      </x:c>
      <x:c r="G68" s="29" t="str">
        <x:v>Anger can tell you something matters. It cannot make every decision for you.</x:v>
      </x:c>
      <x:c r="H68" s="29" t="str">
        <x:v>share</x:v>
      </x:c>
      <x:c r="I68" s="29" t="str">
        <x:v>contrast</x:v>
      </x:c>
      <x:c r="J68" s="36" t="str">
        <x:v>Draft</x:v>
      </x:c>
      <x:c r="K68" s="29" t="str">
        <x:v>Not autobiographical</x:v>
      </x:c>
    </x:row>
    <x:row r="69" ht="66" customHeight="1">
      <x:c r="A69" s="29" t="str">
        <x:v>BTB-068</x:v>
      </x:c>
      <x:c r="B69" s="62" t="n">
        <x:v>46390</x:v>
      </x:c>
      <x:c r="C69" s="64" t="n">
        <x:v>68</x:v>
      </x:c>
      <x:c r="D69" s="29" t="n">
        <x:v>3</x:v>
      </x:c>
      <x:c r="E69" s="64" t="str">
        <x:v>P5</x:v>
      </x:c>
      <x:c r="F69" s="29" t="str">
        <x:v>One Useful Next Step</x:v>
      </x:c>
      <x:c r="G69" s="29" t="str">
        <x:v>Stop making your hardest task compete with every notification.</x:v>
      </x:c>
      <x:c r="H69" s="29" t="str">
        <x:v>save</x:v>
      </x:c>
      <x:c r="I69" s="29" t="str">
        <x:v>checklist</x:v>
      </x:c>
      <x:c r="J69" s="36" t="str">
        <x:v>Draft</x:v>
      </x:c>
      <x:c r="K69" s="29" t="str">
        <x:v>Not autobiographical</x:v>
      </x:c>
    </x:row>
    <x:row r="70" ht="66" customHeight="1">
      <x:c r="A70" s="29" t="str">
        <x:v>BTB-069</x:v>
      </x:c>
      <x:c r="B70" s="62" t="n">
        <x:v>46391</x:v>
      </x:c>
      <x:c r="C70" s="64" t="n">
        <x:v>69</x:v>
      </x:c>
      <x:c r="D70" s="29" t="n">
        <x:v>3</x:v>
      </x:c>
      <x:c r="E70" s="64" t="str">
        <x:v>P3</x:v>
      </x:c>
      <x:c r="F70" s="29" t="str">
        <x:v>Keep the Child Out of the Conflict</x:v>
      </x:c>
      <x:c r="G70" s="29" t="str">
        <x:v>Your child can miss the other parent while being happy with you.</x:v>
      </x:c>
      <x:c r="H70" s="29" t="str">
        <x:v>share</x:v>
      </x:c>
      <x:c r="I70" s="29" t="str">
        <x:v>editorial</x:v>
      </x:c>
      <x:c r="J70" s="36" t="str">
        <x:v>Draft</x:v>
      </x:c>
      <x:c r="K70" s="29" t="str">
        <x:v>Not autobiographical</x:v>
      </x:c>
    </x:row>
    <x:row r="71" ht="66" customHeight="1">
      <x:c r="A71" s="29" t="str">
        <x:v>BTB-070</x:v>
      </x:c>
      <x:c r="B71" s="62" t="n">
        <x:v>46392</x:v>
      </x:c>
      <x:c r="C71" s="64" t="n">
        <x:v>70</x:v>
      </x:c>
      <x:c r="D71" s="29" t="n">
        <x:v>3</x:v>
      </x:c>
      <x:c r="E71" s="64" t="str">
        <x:v>P4</x:v>
      </x:c>
      <x:c r="F71" s="29" t="str">
        <x:v>Trust, Without Losing Yourself</x:v>
      </x:c>
      <x:c r="G71" s="29" t="str">
        <x:v>Forgiveness, trust, and renewed access are separate questions.</x:v>
      </x:c>
      <x:c r="H71" s="29" t="str">
        <x:v>save</x:v>
      </x:c>
      <x:c r="I71" s="29" t="str">
        <x:v>contrast</x:v>
      </x:c>
      <x:c r="J71" s="36" t="str">
        <x:v>Draft</x:v>
      </x:c>
      <x:c r="K71" s="29" t="str">
        <x:v>Not autobiographical</x:v>
      </x:c>
    </x:row>
    <x:row r="72" ht="66" customHeight="1">
      <x:c r="A72" s="29" t="str">
        <x:v>BTB-071</x:v>
      </x:c>
      <x:c r="B72" s="62" t="n">
        <x:v>46393</x:v>
      </x:c>
      <x:c r="C72" s="64" t="n">
        <x:v>71</x:v>
      </x:c>
      <x:c r="D72" s="29" t="n">
        <x:v>3</x:v>
      </x:c>
      <x:c r="E72" s="64" t="str">
        <x:v>P1</x:v>
      </x:c>
      <x:c r="F72" s="29" t="str">
        <x:v>The Part Nobody Sees</x:v>
      </x:c>
      <x:c r="G72" s="29" t="str">
        <x:v>You can miss the person you were before everything became complicated.</x:v>
      </x:c>
      <x:c r="H72" s="29" t="str">
        <x:v>share</x:v>
      </x:c>
      <x:c r="I72" s="29" t="str">
        <x:v>editorial</x:v>
      </x:c>
      <x:c r="J72" s="36" t="str">
        <x:v>Draft</x:v>
      </x:c>
      <x:c r="K72" s="29" t="str">
        <x:v>Not autobiographical</x:v>
      </x:c>
    </x:row>
    <x:row r="73" ht="66" customHeight="1">
      <x:c r="A73" s="29" t="str">
        <x:v>BTB-072</x:v>
      </x:c>
      <x:c r="B73" s="62" t="n">
        <x:v>46394</x:v>
      </x:c>
      <x:c r="C73" s="64" t="n">
        <x:v>72</x:v>
      </x:c>
      <x:c r="D73" s="29" t="n">
        <x:v>3</x:v>
      </x:c>
      <x:c r="E73" s="64" t="str">
        <x:v>P2</x:v>
      </x:c>
      <x:c r="F73" s="29" t="str">
        <x:v>When the Day Gets Heavy</x:v>
      </x:c>
      <x:c r="G73" s="29" t="str">
        <x:v>Not every difficult thought needs an answer tonight.</x:v>
      </x:c>
      <x:c r="H73" s="29" t="str">
        <x:v>save</x:v>
      </x:c>
      <x:c r="I73" s="29" t="str">
        <x:v>checklist</x:v>
      </x:c>
      <x:c r="J73" s="36" t="str">
        <x:v>Draft</x:v>
      </x:c>
      <x:c r="K73" s="29" t="str">
        <x:v>Not autobiographical</x:v>
      </x:c>
    </x:row>
    <x:row r="74" ht="66" customHeight="1">
      <x:c r="A74" s="29" t="str">
        <x:v>BTB-073</x:v>
      </x:c>
      <x:c r="B74" s="62" t="n">
        <x:v>46395</x:v>
      </x:c>
      <x:c r="C74" s="64" t="n">
        <x:v>73</x:v>
      </x:c>
      <x:c r="D74" s="29" t="n">
        <x:v>3</x:v>
      </x:c>
      <x:c r="E74" s="64" t="str">
        <x:v>P5</x:v>
      </x:c>
      <x:c r="F74" s="29" t="str">
        <x:v>One Useful Next Step</x:v>
      </x:c>
      <x:c r="G74" s="29" t="str">
        <x:v>You can lower the cost of a plan without lowering its meaning.</x:v>
      </x:c>
      <x:c r="H74" s="29" t="str">
        <x:v>save</x:v>
      </x:c>
      <x:c r="I74" s="29" t="str">
        <x:v>contrast</x:v>
      </x:c>
      <x:c r="J74" s="36" t="str">
        <x:v>Draft</x:v>
      </x:c>
      <x:c r="K74" s="29" t="str">
        <x:v>Not autobiographical</x:v>
      </x:c>
    </x:row>
    <x:row r="75" ht="66" customHeight="1">
      <x:c r="A75" s="29" t="str">
        <x:v>BTB-074</x:v>
      </x:c>
      <x:c r="B75" s="62" t="n">
        <x:v>46396</x:v>
      </x:c>
      <x:c r="C75" s="64" t="n">
        <x:v>74</x:v>
      </x:c>
      <x:c r="D75" s="29" t="n">
        <x:v>3</x:v>
      </x:c>
      <x:c r="E75" s="64" t="str">
        <x:v>P6</x:v>
      </x:c>
      <x:c r="F75" s="29" t="str">
        <x:v>Notes From the Rebuild</x:v>
      </x:c>
      <x:c r="G75" s="29" t="str">
        <x:v>Parenting did not pause while I was trying to rebuild.</x:v>
      </x:c>
      <x:c r="H75" s="29" t="str">
        <x:v>follow</x:v>
      </x:c>
      <x:c r="I75" s="29" t="str">
        <x:v>letter</x:v>
      </x:c>
      <x:c r="J75" s="36" t="str">
        <x:v>Draft</x:v>
      </x:c>
      <x:c r="K75" s="29" t="str">
        <x:v>Required</x:v>
      </x:c>
    </x:row>
    <x:row r="76" ht="66" customHeight="1">
      <x:c r="A76" s="29" t="str">
        <x:v>BTB-075</x:v>
      </x:c>
      <x:c r="B76" s="62" t="n">
        <x:v>46397</x:v>
      </x:c>
      <x:c r="C76" s="64" t="n">
        <x:v>75</x:v>
      </x:c>
      <x:c r="D76" s="29" t="n">
        <x:v>3</x:v>
      </x:c>
      <x:c r="E76" s="64" t="str">
        <x:v>P3</x:v>
      </x:c>
      <x:c r="F76" s="29" t="str">
        <x:v>Keep the Child Out of the Conflict</x:v>
      </x:c>
      <x:c r="G76" s="29" t="str">
        <x:v>The school email needs an action owner, not a fresh argument.</x:v>
      </x:c>
      <x:c r="H76" s="29" t="str">
        <x:v>save</x:v>
      </x:c>
      <x:c r="I76" s="29" t="str">
        <x:v>checklist</x:v>
      </x:c>
      <x:c r="J76" s="36" t="str">
        <x:v>Draft</x:v>
      </x:c>
      <x:c r="K76" s="29" t="str">
        <x:v>Not autobiographical</x:v>
      </x:c>
    </x:row>
    <x:row r="77" ht="66" customHeight="1">
      <x:c r="A77" s="29" t="str">
        <x:v>BTB-076</x:v>
      </x:c>
      <x:c r="B77" s="62" t="n">
        <x:v>46398</x:v>
      </x:c>
      <x:c r="C77" s="64" t="n">
        <x:v>76</x:v>
      </x:c>
      <x:c r="D77" s="29" t="n">
        <x:v>3</x:v>
      </x:c>
      <x:c r="E77" s="64" t="str">
        <x:v>P4</x:v>
      </x:c>
      <x:c r="F77" s="29" t="str">
        <x:v>Trust, Without Losing Yourself</x:v>
      </x:c>
      <x:c r="G77" s="29" t="str">
        <x:v>You can disagree without adding a character judgment.</x:v>
      </x:c>
      <x:c r="H77" s="29" t="str">
        <x:v>save</x:v>
      </x:c>
      <x:c r="I77" s="29" t="str">
        <x:v>script</x:v>
      </x:c>
      <x:c r="J77" s="36" t="str">
        <x:v>Draft</x:v>
      </x:c>
      <x:c r="K77" s="29" t="str">
        <x:v>Not autobiographical</x:v>
      </x:c>
    </x:row>
    <x:row r="78" ht="66" customHeight="1">
      <x:c r="A78" s="29" t="str">
        <x:v>BTB-077</x:v>
      </x:c>
      <x:c r="B78" s="62" t="n">
        <x:v>46399</x:v>
      </x:c>
      <x:c r="C78" s="64" t="n">
        <x:v>77</x:v>
      </x:c>
      <x:c r="D78" s="29" t="n">
        <x:v>3</x:v>
      </x:c>
      <x:c r="E78" s="64" t="str">
        <x:v>P5</x:v>
      </x:c>
      <x:c r="F78" s="29" t="str">
        <x:v>One Useful Next Step</x:v>
      </x:c>
      <x:c r="G78" s="29" t="str">
        <x:v>Make a “not this month” list.</x:v>
      </x:c>
      <x:c r="H78" s="29" t="str">
        <x:v>save</x:v>
      </x:c>
      <x:c r="I78" s="29" t="str">
        <x:v>checklist</x:v>
      </x:c>
      <x:c r="J78" s="36" t="str">
        <x:v>Draft</x:v>
      </x:c>
      <x:c r="K78" s="29" t="str">
        <x:v>Not autobiographical</x:v>
      </x:c>
    </x:row>
    <x:row r="79" ht="66" customHeight="1">
      <x:c r="A79" s="29" t="str">
        <x:v>BTB-078</x:v>
      </x:c>
      <x:c r="B79" s="62" t="n">
        <x:v>46400</x:v>
      </x:c>
      <x:c r="C79" s="64" t="n">
        <x:v>78</x:v>
      </x:c>
      <x:c r="D79" s="29" t="n">
        <x:v>3</x:v>
      </x:c>
      <x:c r="E79" s="64" t="str">
        <x:v>P1</x:v>
      </x:c>
      <x:c r="F79" s="29" t="str">
        <x:v>The Part Nobody Sees</x:v>
      </x:c>
      <x:c r="G79" s="29" t="str">
        <x:v>A relationship ending is an event. Being a failure is a verdict.</x:v>
      </x:c>
      <x:c r="H79" s="29" t="str">
        <x:v>share</x:v>
      </x:c>
      <x:c r="I79" s="29" t="str">
        <x:v>contrast</x:v>
      </x:c>
      <x:c r="J79" s="36" t="str">
        <x:v>Draft</x:v>
      </x:c>
      <x:c r="K79" s="29" t="str">
        <x:v>Not autobiographical</x:v>
      </x:c>
    </x:row>
    <x:row r="80" ht="66" customHeight="1">
      <x:c r="A80" s="29" t="str">
        <x:v>BTB-079</x:v>
      </x:c>
      <x:c r="B80" s="62" t="n">
        <x:v>46401</x:v>
      </x:c>
      <x:c r="C80" s="64" t="n">
        <x:v>79</x:v>
      </x:c>
      <x:c r="D80" s="29" t="n">
        <x:v>3</x:v>
      </x:c>
      <x:c r="E80" s="64" t="str">
        <x:v>P2</x:v>
      </x:c>
      <x:c r="F80" s="29" t="str">
        <x:v>When the Day Gets Heavy</x:v>
      </x:c>
      <x:c r="G80" s="29" t="str">
        <x:v>You do not need to make your pain useful every day.</x:v>
      </x:c>
      <x:c r="H80" s="29" t="str">
        <x:v>share</x:v>
      </x:c>
      <x:c r="I80" s="29" t="str">
        <x:v>editorial</x:v>
      </x:c>
      <x:c r="J80" s="36" t="str">
        <x:v>Draft</x:v>
      </x:c>
      <x:c r="K80" s="29" t="str">
        <x:v>Not autobiographical</x:v>
      </x:c>
    </x:row>
    <x:row r="81" ht="66" customHeight="1">
      <x:c r="A81" s="29" t="str">
        <x:v>BTB-080</x:v>
      </x:c>
      <x:c r="B81" s="62" t="n">
        <x:v>46402</x:v>
      </x:c>
      <x:c r="C81" s="64" t="n">
        <x:v>80</x:v>
      </x:c>
      <x:c r="D81" s="29" t="n">
        <x:v>3</x:v>
      </x:c>
      <x:c r="E81" s="64" t="str">
        <x:v>P3</x:v>
      </x:c>
      <x:c r="F81" s="29" t="str">
        <x:v>Keep the Child Out of the Conflict</x:v>
      </x:c>
      <x:c r="G81" s="29" t="str">
        <x:v>When a plan changes, tell the child what is known—not who to blame.</x:v>
      </x:c>
      <x:c r="H81" s="29" t="str">
        <x:v>save</x:v>
      </x:c>
      <x:c r="I81" s="29" t="str">
        <x:v>script</x:v>
      </x:c>
      <x:c r="J81" s="36" t="str">
        <x:v>Draft</x:v>
      </x:c>
      <x:c r="K81" s="29" t="str">
        <x:v>Not autobiographical</x:v>
      </x:c>
    </x:row>
    <x:row r="82" ht="66" customHeight="1">
      <x:c r="A82" s="29" t="str">
        <x:v>BTB-081</x:v>
      </x:c>
      <x:c r="B82" s="62" t="n">
        <x:v>46403</x:v>
      </x:c>
      <x:c r="C82" s="64" t="n">
        <x:v>81</x:v>
      </x:c>
      <x:c r="D82" s="29" t="n">
        <x:v>3</x:v>
      </x:c>
      <x:c r="E82" s="64" t="str">
        <x:v>P4</x:v>
      </x:c>
      <x:c r="F82" s="29" t="str">
        <x:v>Trust, Without Losing Yourself</x:v>
      </x:c>
      <x:c r="G82" s="29" t="str">
        <x:v>Before restarting a relationship, talk about the ordinary Tuesday.</x:v>
      </x:c>
      <x:c r="H82" s="29" t="str">
        <x:v>save</x:v>
      </x:c>
      <x:c r="I82" s="29" t="str">
        <x:v>checklist</x:v>
      </x:c>
      <x:c r="J82" s="36" t="str">
        <x:v>Draft</x:v>
      </x:c>
      <x:c r="K82" s="29" t="str">
        <x:v>Not autobiographical</x:v>
      </x:c>
    </x:row>
    <x:row r="83" ht="66" customHeight="1">
      <x:c r="A83" s="29" t="str">
        <x:v>BTB-082</x:v>
      </x:c>
      <x:c r="B83" s="62" t="n">
        <x:v>46404</x:v>
      </x:c>
      <x:c r="C83" s="64" t="n">
        <x:v>82</x:v>
      </x:c>
      <x:c r="D83" s="29" t="n">
        <x:v>3</x:v>
      </x:c>
      <x:c r="E83" s="64" t="str">
        <x:v>P5</x:v>
      </x:c>
      <x:c r="F83" s="29" t="str">
        <x:v>One Useful Next Step</x:v>
      </x:c>
      <x:c r="G83" s="29" t="str">
        <x:v>Your next appointment deserves a short question list.</x:v>
      </x:c>
      <x:c r="H83" s="29" t="str">
        <x:v>save</x:v>
      </x:c>
      <x:c r="I83" s="29" t="str">
        <x:v>checklist</x:v>
      </x:c>
      <x:c r="J83" s="36" t="str">
        <x:v>Draft</x:v>
      </x:c>
      <x:c r="K83" s="29" t="str">
        <x:v>Not autobiographical</x:v>
      </x:c>
    </x:row>
    <x:row r="84" ht="66" customHeight="1">
      <x:c r="A84" s="29" t="str">
        <x:v>BTB-083</x:v>
      </x:c>
      <x:c r="B84" s="62" t="n">
        <x:v>46405</x:v>
      </x:c>
      <x:c r="C84" s="64" t="n">
        <x:v>83</x:v>
      </x:c>
      <x:c r="D84" s="29" t="n">
        <x:v>3</x:v>
      </x:c>
      <x:c r="E84" s="64" t="str">
        <x:v>P1</x:v>
      </x:c>
      <x:c r="F84" s="29" t="str">
        <x:v>The Part Nobody Sees</x:v>
      </x:c>
      <x:c r="G84" s="29" t="str">
        <x:v>You can stop explaining without pretending nobody misunderstood you.</x:v>
      </x:c>
      <x:c r="H84" s="29" t="str">
        <x:v>share</x:v>
      </x:c>
      <x:c r="I84" s="29" t="str">
        <x:v>editorial</x:v>
      </x:c>
      <x:c r="J84" s="36" t="str">
        <x:v>Draft</x:v>
      </x:c>
      <x:c r="K84" s="29" t="str">
        <x:v>Not autobiographical</x:v>
      </x:c>
    </x:row>
    <x:row r="85" ht="66" customHeight="1">
      <x:c r="A85" s="29" t="str">
        <x:v>BTB-084</x:v>
      </x:c>
      <x:c r="B85" s="62" t="n">
        <x:v>46406</x:v>
      </x:c>
      <x:c r="C85" s="64" t="n">
        <x:v>84</x:v>
      </x:c>
      <x:c r="D85" s="29" t="n">
        <x:v>3</x:v>
      </x:c>
      <x:c r="E85" s="64" t="str">
        <x:v>P2</x:v>
      </x:c>
      <x:c r="F85" s="29" t="str">
        <x:v>When the Day Gets Heavy</x:v>
      </x:c>
      <x:c r="G85" s="29" t="str">
        <x:v>Feeling behind is not the same as knowing your next step.</x:v>
      </x:c>
      <x:c r="H85" s="29" t="str">
        <x:v>save</x:v>
      </x:c>
      <x:c r="I85" s="29" t="str">
        <x:v>contrast</x:v>
      </x:c>
      <x:c r="J85" s="36" t="str">
        <x:v>Draft</x:v>
      </x:c>
      <x:c r="K85" s="29" t="str">
        <x:v>Not autobiographical</x:v>
      </x:c>
    </x:row>
    <x:row r="86" ht="66" customHeight="1">
      <x:c r="A86" s="29" t="str">
        <x:v>BTB-085</x:v>
      </x:c>
      <x:c r="B86" s="62" t="n">
        <x:v>46407</x:v>
      </x:c>
      <x:c r="C86" s="64" t="n">
        <x:v>85</x:v>
      </x:c>
      <x:c r="D86" s="29" t="n">
        <x:v>3</x:v>
      </x:c>
      <x:c r="E86" s="64" t="str">
        <x:v>P3</x:v>
      </x:c>
      <x:c r="F86" s="29" t="str">
        <x:v>Keep the Child Out of the Conflict</x:v>
      </x:c>
      <x:c r="G86" s="29" t="str">
        <x:v>Your child is not responsible for making parenting time feel worth it.</x:v>
      </x:c>
      <x:c r="H86" s="29" t="str">
        <x:v>share</x:v>
      </x:c>
      <x:c r="I86" s="29" t="str">
        <x:v>editorial</x:v>
      </x:c>
      <x:c r="J86" s="36" t="str">
        <x:v>Draft</x:v>
      </x:c>
      <x:c r="K86" s="29" t="str">
        <x:v>Not autobiographical</x:v>
      </x:c>
    </x:row>
    <x:row r="87" ht="66" customHeight="1">
      <x:c r="A87" s="29" t="str">
        <x:v>BTB-086</x:v>
      </x:c>
      <x:c r="B87" s="62" t="n">
        <x:v>46408</x:v>
      </x:c>
      <x:c r="C87" s="64" t="n">
        <x:v>86</x:v>
      </x:c>
      <x:c r="D87" s="29" t="n">
        <x:v>3</x:v>
      </x:c>
      <x:c r="E87" s="64" t="str">
        <x:v>P4</x:v>
      </x:c>
      <x:c r="F87" s="29" t="str">
        <x:v>Trust, Without Losing Yourself</x:v>
      </x:c>
      <x:c r="G87" s="29" t="str">
        <x:v>You can be kind without making yourself constantly available.</x:v>
      </x:c>
      <x:c r="H87" s="29" t="str">
        <x:v>share</x:v>
      </x:c>
      <x:c r="I87" s="29" t="str">
        <x:v>contrast</x:v>
      </x:c>
      <x:c r="J87" s="36" t="str">
        <x:v>Draft</x:v>
      </x:c>
      <x:c r="K87" s="29" t="str">
        <x:v>Not autobiographical</x:v>
      </x:c>
    </x:row>
    <x:row r="88" ht="66" customHeight="1">
      <x:c r="A88" s="29" t="str">
        <x:v>BTB-087</x:v>
      </x:c>
      <x:c r="B88" s="62" t="n">
        <x:v>46409</x:v>
      </x:c>
      <x:c r="C88" s="64" t="n">
        <x:v>87</x:v>
      </x:c>
      <x:c r="D88" s="29" t="n">
        <x:v>3</x:v>
      </x:c>
      <x:c r="E88" s="64" t="str">
        <x:v>P5</x:v>
      </x:c>
      <x:c r="F88" s="29" t="str">
        <x:v>One Useful Next Step</x:v>
      </x:c>
      <x:c r="G88" s="29" t="str">
        <x:v>When everything needs money, begin with a complete list—not a panic purchase.</x:v>
      </x:c>
      <x:c r="H88" s="29" t="str">
        <x:v>save</x:v>
      </x:c>
      <x:c r="I88" s="29" t="str">
        <x:v>checklist</x:v>
      </x:c>
      <x:c r="J88" s="36" t="str">
        <x:v>Draft</x:v>
      </x:c>
      <x:c r="K88" s="29" t="str">
        <x:v>Not autobiographical</x:v>
      </x:c>
    </x:row>
    <x:row r="89" ht="66" customHeight="1">
      <x:c r="A89" s="29" t="str">
        <x:v>BTB-088</x:v>
      </x:c>
      <x:c r="B89" s="62" t="n">
        <x:v>46410</x:v>
      </x:c>
      <x:c r="C89" s="64" t="n">
        <x:v>88</x:v>
      </x:c>
      <x:c r="D89" s="29" t="n">
        <x:v>3</x:v>
      </x:c>
      <x:c r="E89" s="64" t="str">
        <x:v>P1</x:v>
      </x:c>
      <x:c r="F89" s="29" t="str">
        <x:v>The Part Nobody Sees</x:v>
      </x:c>
      <x:c r="G89" s="29" t="str">
        <x:v>A smaller life for a season is not a smaller human being.</x:v>
      </x:c>
      <x:c r="H89" s="29" t="str">
        <x:v>share</x:v>
      </x:c>
      <x:c r="I89" s="29" t="str">
        <x:v>editorial</x:v>
      </x:c>
      <x:c r="J89" s="36" t="str">
        <x:v>Draft</x:v>
      </x:c>
      <x:c r="K89" s="29" t="str">
        <x:v>Not autobiographical</x:v>
      </x:c>
    </x:row>
    <x:row r="90" ht="66" customHeight="1">
      <x:c r="A90" s="29" t="str">
        <x:v>BTB-089</x:v>
      </x:c>
      <x:c r="B90" s="62" t="n">
        <x:v>46411</x:v>
      </x:c>
      <x:c r="C90" s="64" t="n">
        <x:v>89</x:v>
      </x:c>
      <x:c r="D90" s="29" t="n">
        <x:v>3</x:v>
      </x:c>
      <x:c r="E90" s="64" t="str">
        <x:v>P2</x:v>
      </x:c>
      <x:c r="F90" s="29" t="str">
        <x:v>When the Day Gets Heavy</x:v>
      </x:c>
      <x:c r="G90" s="29" t="str">
        <x:v>Keep a record of what helped—not a score of how well you healed.</x:v>
      </x:c>
      <x:c r="H90" s="29" t="str">
        <x:v>save</x:v>
      </x:c>
      <x:c r="I90" s="29" t="str">
        <x:v>checklist</x:v>
      </x:c>
      <x:c r="J90" s="36" t="str">
        <x:v>Draft</x:v>
      </x:c>
      <x:c r="K90" s="29" t="str">
        <x:v>Not autobiographical</x:v>
      </x:c>
    </x:row>
    <x:row r="91" ht="66" customHeight="1">
      <x:c r="A91" s="29" t="str">
        <x:v>BTB-090</x:v>
      </x:c>
      <x:c r="B91" s="62" t="n">
        <x:v>46412</x:v>
      </x:c>
      <x:c r="C91" s="64" t="n">
        <x:v>90</x:v>
      </x:c>
      <x:c r="D91" s="29" t="n">
        <x:v>3</x:v>
      </x:c>
      <x:c r="E91" s="64" t="str">
        <x:v>P6</x:v>
      </x:c>
      <x:c r="F91" s="29" t="str">
        <x:v>Notes From the Rebuild</x:v>
      </x:c>
      <x:c r="G91" s="29" t="str">
        <x:v>I will not tell you I handled every difficult conversation perfectly.</x:v>
      </x:c>
      <x:c r="H91" s="29" t="str">
        <x:v>follow</x:v>
      </x:c>
      <x:c r="I91" s="29" t="str">
        <x:v>letter</x:v>
      </x:c>
      <x:c r="J91" s="36" t="str">
        <x:v>Draft</x:v>
      </x:c>
      <x:c r="K91" s="29" t="str">
        <x:v>Required</x:v>
      </x:c>
    </x:row>
    <x:row r="92" ht="66" customHeight="1">
      <x:c r="A92" s="29" t="str">
        <x:v>BTB-091</x:v>
      </x:c>
      <x:c r="B92" s="62" t="n">
        <x:v>46413</x:v>
      </x:c>
      <x:c r="C92" s="64" t="n">
        <x:v>91</x:v>
      </x:c>
      <x:c r="D92" s="29" t="n">
        <x:v>4</x:v>
      </x:c>
      <x:c r="E92" s="64" t="str">
        <x:v>P1</x:v>
      </x:c>
      <x:c r="F92" s="29" t="str">
        <x:v>The Part Nobody Sees</x:v>
      </x:c>
      <x:c r="G92" s="29" t="str">
        <x:v>Your introduction does not have to begin with what went wrong.</x:v>
      </x:c>
      <x:c r="H92" s="29" t="str">
        <x:v>share</x:v>
      </x:c>
      <x:c r="I92" s="29" t="str">
        <x:v>editorial</x:v>
      </x:c>
      <x:c r="J92" s="36" t="str">
        <x:v>Draft</x:v>
      </x:c>
      <x:c r="K92" s="29" t="str">
        <x:v>Not autobiographical</x:v>
      </x:c>
    </x:row>
    <x:row r="93" ht="66" customHeight="1">
      <x:c r="A93" s="29" t="str">
        <x:v>BTB-092</x:v>
      </x:c>
      <x:c r="B93" s="62" t="n">
        <x:v>46414</x:v>
      </x:c>
      <x:c r="C93" s="64" t="n">
        <x:v>92</x:v>
      </x:c>
      <x:c r="D93" s="29" t="n">
        <x:v>4</x:v>
      </x:c>
      <x:c r="E93" s="64" t="str">
        <x:v>P2</x:v>
      </x:c>
      <x:c r="F93" s="29" t="str">
        <x:v>When the Day Gets Heavy</x:v>
      </x:c>
      <x:c r="G93" s="29" t="str">
        <x:v>Before asking “Why am I like this?”, ask what is happening today.</x:v>
      </x:c>
      <x:c r="H93" s="29" t="str">
        <x:v>save</x:v>
      </x:c>
      <x:c r="I93" s="29" t="str">
        <x:v>checklist</x:v>
      </x:c>
      <x:c r="J93" s="36" t="str">
        <x:v>Draft</x:v>
      </x:c>
      <x:c r="K93" s="29" t="str">
        <x:v>Not autobiographical</x:v>
      </x:c>
    </x:row>
    <x:row r="94" ht="66" customHeight="1">
      <x:c r="A94" s="29" t="str">
        <x:v>BTB-093</x:v>
      </x:c>
      <x:c r="B94" s="62" t="n">
        <x:v>46415</x:v>
      </x:c>
      <x:c r="C94" s="64" t="n">
        <x:v>93</x:v>
      </x:c>
      <x:c r="D94" s="29" t="n">
        <x:v>4</x:v>
      </x:c>
      <x:c r="E94" s="64" t="str">
        <x:v>P3</x:v>
      </x:c>
      <x:c r="F94" s="29" t="str">
        <x:v>Keep the Child Out of the Conflict</x:v>
      </x:c>
      <x:c r="G94" s="29" t="str">
        <x:v>A birthday is not a competition between households.</x:v>
      </x:c>
      <x:c r="H94" s="29" t="str">
        <x:v>save</x:v>
      </x:c>
      <x:c r="I94" s="29" t="str">
        <x:v>checklist</x:v>
      </x:c>
      <x:c r="J94" s="36" t="str">
        <x:v>Draft</x:v>
      </x:c>
      <x:c r="K94" s="29" t="str">
        <x:v>Not autobiographical</x:v>
      </x:c>
    </x:row>
    <x:row r="95" ht="66" customHeight="1">
      <x:c r="A95" s="29" t="str">
        <x:v>BTB-094</x:v>
      </x:c>
      <x:c r="B95" s="62" t="n">
        <x:v>46416</x:v>
      </x:c>
      <x:c r="C95" s="64" t="n">
        <x:v>94</x:v>
      </x:c>
      <x:c r="D95" s="29" t="n">
        <x:v>4</x:v>
      </x:c>
      <x:c r="E95" s="64" t="str">
        <x:v>P4</x:v>
      </x:c>
      <x:c r="F95" s="29" t="str">
        <x:v>Trust, Without Losing Yourself</x:v>
      </x:c>
      <x:c r="G95" s="29" t="str">
        <x:v>A new person deserves to be understood—not measured against an old wound.</x:v>
      </x:c>
      <x:c r="H95" s="29" t="str">
        <x:v>share</x:v>
      </x:c>
      <x:c r="I95" s="29" t="str">
        <x:v>contrast</x:v>
      </x:c>
      <x:c r="J95" s="36" t="str">
        <x:v>Draft</x:v>
      </x:c>
      <x:c r="K95" s="29" t="str">
        <x:v>Not autobiographical</x:v>
      </x:c>
    </x:row>
    <x:row r="96" ht="66" customHeight="1">
      <x:c r="A96" s="29" t="str">
        <x:v>BTB-095</x:v>
      </x:c>
      <x:c r="B96" s="62" t="n">
        <x:v>46417</x:v>
      </x:c>
      <x:c r="C96" s="64" t="n">
        <x:v>95</x:v>
      </x:c>
      <x:c r="D96" s="29" t="n">
        <x:v>4</x:v>
      </x:c>
      <x:c r="E96" s="64" t="str">
        <x:v>P5</x:v>
      </x:c>
      <x:c r="F96" s="29" t="str">
        <x:v>One Useful Next Step</x:v>
      </x:c>
      <x:c r="G96" s="29" t="str">
        <x:v>Waiting for an answer does not have to become your only activity.</x:v>
      </x:c>
      <x:c r="H96" s="29" t="str">
        <x:v>save</x:v>
      </x:c>
      <x:c r="I96" s="29" t="str">
        <x:v>checklist</x:v>
      </x:c>
      <x:c r="J96" s="36" t="str">
        <x:v>Draft</x:v>
      </x:c>
      <x:c r="K96" s="29" t="str">
        <x:v>Not autobiographical</x:v>
      </x:c>
    </x:row>
    <x:row r="97" ht="66" customHeight="1">
      <x:c r="A97" s="29" t="str">
        <x:v>BTB-096</x:v>
      </x:c>
      <x:c r="B97" s="62" t="n">
        <x:v>46418</x:v>
      </x:c>
      <x:c r="C97" s="64" t="n">
        <x:v>96</x:v>
      </x:c>
      <x:c r="D97" s="29" t="n">
        <x:v>4</x:v>
      </x:c>
      <x:c r="E97" s="64" t="str">
        <x:v>P1</x:v>
      </x:c>
      <x:c r="F97" s="29" t="str">
        <x:v>The Part Nobody Sees</x:v>
      </x:c>
      <x:c r="G97" s="29" t="str">
        <x:v>Starting over later than expected is not the same as starting too late.</x:v>
      </x:c>
      <x:c r="H97" s="29" t="str">
        <x:v>share</x:v>
      </x:c>
      <x:c r="I97" s="29" t="str">
        <x:v>editorial</x:v>
      </x:c>
      <x:c r="J97" s="36" t="str">
        <x:v>Draft</x:v>
      </x:c>
      <x:c r="K97" s="29" t="str">
        <x:v>Not autobiographical</x:v>
      </x:c>
    </x:row>
    <x:row r="98" ht="66" customHeight="1">
      <x:c r="A98" s="29" t="str">
        <x:v>BTB-097</x:v>
      </x:c>
      <x:c r="B98" s="62" t="n">
        <x:v>46419</x:v>
      </x:c>
      <x:c r="C98" s="64" t="n">
        <x:v>97</x:v>
      </x:c>
      <x:c r="D98" s="29" t="n">
        <x:v>4</x:v>
      </x:c>
      <x:c r="E98" s="64" t="str">
        <x:v>P2</x:v>
      </x:c>
      <x:c r="F98" s="29" t="str">
        <x:v>When the Day Gets Heavy</x:v>
      </x:c>
      <x:c r="G98" s="29" t="str">
        <x:v>You do not have to wait until things collapse to ask for help.</x:v>
      </x:c>
      <x:c r="H98" s="29" t="str">
        <x:v>save</x:v>
      </x:c>
      <x:c r="I98" s="29" t="str">
        <x:v>script</x:v>
      </x:c>
      <x:c r="J98" s="36" t="str">
        <x:v>Draft</x:v>
      </x:c>
      <x:c r="K98" s="29" t="str">
        <x:v>Not autobiographical</x:v>
      </x:c>
    </x:row>
    <x:row r="99" ht="66" customHeight="1">
      <x:c r="A99" s="29" t="str">
        <x:v>BTB-098</x:v>
      </x:c>
      <x:c r="B99" s="62" t="n">
        <x:v>46420</x:v>
      </x:c>
      <x:c r="C99" s="64" t="n">
        <x:v>98</x:v>
      </x:c>
      <x:c r="D99" s="29" t="n">
        <x:v>4</x:v>
      </x:c>
      <x:c r="E99" s="64" t="str">
        <x:v>P5</x:v>
      </x:c>
      <x:c r="F99" s="29" t="str">
        <x:v>One Useful Next Step</x:v>
      </x:c>
      <x:c r="G99" s="29" t="str">
        <x:v>Give the next application more attention than the next ten worries.</x:v>
      </x:c>
      <x:c r="H99" s="29" t="str">
        <x:v>save</x:v>
      </x:c>
      <x:c r="I99" s="29" t="str">
        <x:v>checklist</x:v>
      </x:c>
      <x:c r="J99" s="36" t="str">
        <x:v>Draft</x:v>
      </x:c>
      <x:c r="K99" s="29" t="str">
        <x:v>Not autobiographical</x:v>
      </x:c>
    </x:row>
    <x:row r="100" ht="66" customHeight="1">
      <x:c r="A100" s="29" t="str">
        <x:v>BTB-099</x:v>
      </x:c>
      <x:c r="B100" s="62" t="n">
        <x:v>46421</x:v>
      </x:c>
      <x:c r="C100" s="64" t="n">
        <x:v>99</x:v>
      </x:c>
      <x:c r="D100" s="29" t="n">
        <x:v>4</x:v>
      </x:c>
      <x:c r="E100" s="64" t="str">
        <x:v>P3</x:v>
      </x:c>
      <x:c r="F100" s="29" t="str">
        <x:v>Keep the Child Out of the Conflict</x:v>
      </x:c>
      <x:c r="G100" s="29" t="str">
        <x:v>Your child should not have to protect your secrets about adult conflict.</x:v>
      </x:c>
      <x:c r="H100" s="29" t="str">
        <x:v>share</x:v>
      </x:c>
      <x:c r="I100" s="29" t="str">
        <x:v>editorial</x:v>
      </x:c>
      <x:c r="J100" s="36" t="str">
        <x:v>Draft</x:v>
      </x:c>
      <x:c r="K100" s="29" t="str">
        <x:v>Not autobiographical</x:v>
      </x:c>
    </x:row>
    <x:row r="101" ht="66" customHeight="1">
      <x:c r="A101" s="29" t="str">
        <x:v>BTB-100</x:v>
      </x:c>
      <x:c r="B101" s="62" t="n">
        <x:v>46422</x:v>
      </x:c>
      <x:c r="C101" s="64" t="n">
        <x:v>100</x:v>
      </x:c>
      <x:c r="D101" s="29" t="n">
        <x:v>4</x:v>
      </x:c>
      <x:c r="E101" s="64" t="str">
        <x:v>P4</x:v>
      </x:c>
      <x:c r="F101" s="29" t="str">
        <x:v>Trust, Without Losing Yourself</x:v>
      </x:c>
      <x:c r="G101" s="29" t="str">
        <x:v>Privacy and trust deserve a conversation—not a password test.</x:v>
      </x:c>
      <x:c r="H101" s="29" t="str">
        <x:v>save</x:v>
      </x:c>
      <x:c r="I101" s="29" t="str">
        <x:v>contrast</x:v>
      </x:c>
      <x:c r="J101" s="36" t="str">
        <x:v>Draft</x:v>
      </x:c>
      <x:c r="K101" s="29" t="str">
        <x:v>Not autobiographical</x:v>
      </x:c>
    </x:row>
    <x:row r="102" ht="66" customHeight="1">
      <x:c r="A102" s="29" t="str">
        <x:v>BTB-101</x:v>
      </x:c>
      <x:c r="B102" s="62" t="n">
        <x:v>46423</x:v>
      </x:c>
      <x:c r="C102" s="64" t="n">
        <x:v>101</x:v>
      </x:c>
      <x:c r="D102" s="29" t="n">
        <x:v>4</x:v>
      </x:c>
      <x:c r="E102" s="64" t="str">
        <x:v>P1</x:v>
      </x:c>
      <x:c r="F102" s="29" t="str">
        <x:v>The Part Nobody Sees</x:v>
      </x:c>
      <x:c r="G102" s="29" t="str">
        <x:v>You are allowed to build a life that does not prove anyone wrong.</x:v>
      </x:c>
      <x:c r="H102" s="29" t="str">
        <x:v>share</x:v>
      </x:c>
      <x:c r="I102" s="29" t="str">
        <x:v>editorial</x:v>
      </x:c>
      <x:c r="J102" s="36" t="str">
        <x:v>Draft</x:v>
      </x:c>
      <x:c r="K102" s="29" t="str">
        <x:v>Not autobiographical</x:v>
      </x:c>
    </x:row>
    <x:row r="103" ht="66" customHeight="1">
      <x:c r="A103" s="29" t="str">
        <x:v>BTB-102</x:v>
      </x:c>
      <x:c r="B103" s="62" t="n">
        <x:v>46424</x:v>
      </x:c>
      <x:c r="C103" s="64" t="n">
        <x:v>102</x:v>
      </x:c>
      <x:c r="D103" s="29" t="n">
        <x:v>4</x:v>
      </x:c>
      <x:c r="E103" s="64" t="str">
        <x:v>P2</x:v>
      </x:c>
      <x:c r="F103" s="29" t="str">
        <x:v>When the Day Gets Heavy</x:v>
      </x:c>
      <x:c r="G103" s="29" t="str">
        <x:v>Notice what the feed leaves you carrying after you close it.</x:v>
      </x:c>
      <x:c r="H103" s="29" t="str">
        <x:v>save</x:v>
      </x:c>
      <x:c r="I103" s="29" t="str">
        <x:v>checklist</x:v>
      </x:c>
      <x:c r="J103" s="36" t="str">
        <x:v>Draft</x:v>
      </x:c>
      <x:c r="K103" s="29" t="str">
        <x:v>Not autobiographical</x:v>
      </x:c>
    </x:row>
    <x:row r="104" ht="66" customHeight="1">
      <x:c r="A104" s="29" t="str">
        <x:v>BTB-103</x:v>
      </x:c>
      <x:c r="B104" s="62" t="n">
        <x:v>46425</x:v>
      </x:c>
      <x:c r="C104" s="64" t="n">
        <x:v>103</x:v>
      </x:c>
      <x:c r="D104" s="29" t="n">
        <x:v>4</x:v>
      </x:c>
      <x:c r="E104" s="64" t="str">
        <x:v>P5</x:v>
      </x:c>
      <x:c r="F104" s="29" t="str">
        <x:v>One Useful Next Step</x:v>
      </x:c>
      <x:c r="G104" s="29" t="str">
        <x:v>Maintenance is not the opposite of progress.</x:v>
      </x:c>
      <x:c r="H104" s="29" t="str">
        <x:v>share</x:v>
      </x:c>
      <x:c r="I104" s="29" t="str">
        <x:v>contrast</x:v>
      </x:c>
      <x:c r="J104" s="36" t="str">
        <x:v>Draft</x:v>
      </x:c>
      <x:c r="K104" s="29" t="str">
        <x:v>Not autobiographical</x:v>
      </x:c>
    </x:row>
    <x:row r="105" ht="66" customHeight="1">
      <x:c r="A105" s="29" t="str">
        <x:v>BTB-104</x:v>
      </x:c>
      <x:c r="B105" s="62" t="n">
        <x:v>46426</x:v>
      </x:c>
      <x:c r="C105" s="64" t="n">
        <x:v>104</x:v>
      </x:c>
      <x:c r="D105" s="29" t="n">
        <x:v>4</x:v>
      </x:c>
      <x:c r="E105" s="64" t="str">
        <x:v>P6</x:v>
      </x:c>
      <x:c r="F105" s="29" t="str">
        <x:v>Notes From the Rebuild</x:v>
      </x:c>
      <x:c r="G105" s="29" t="str">
        <x:v>I am choosing a quieter definition of a comeback.</x:v>
      </x:c>
      <x:c r="H105" s="29" t="str">
        <x:v>follow</x:v>
      </x:c>
      <x:c r="I105" s="29" t="str">
        <x:v>letter</x:v>
      </x:c>
      <x:c r="J105" s="36" t="str">
        <x:v>Draft</x:v>
      </x:c>
      <x:c r="K105" s="29" t="str">
        <x:v>Required</x:v>
      </x:c>
    </x:row>
    <x:row r="106" ht="66" customHeight="1">
      <x:c r="A106" s="29" t="str">
        <x:v>BTB-105</x:v>
      </x:c>
      <x:c r="B106" s="62" t="n">
        <x:v>46427</x:v>
      </x:c>
      <x:c r="C106" s="64" t="n">
        <x:v>105</x:v>
      </x:c>
      <x:c r="D106" s="29" t="n">
        <x:v>4</x:v>
      </x:c>
      <x:c r="E106" s="64" t="str">
        <x:v>P3</x:v>
      </x:c>
      <x:c r="F106" s="29" t="str">
        <x:v>Keep the Child Out of the Conflict</x:v>
      </x:c>
      <x:c r="G106" s="29" t="str">
        <x:v>A school problem is still a school problem after separation.</x:v>
      </x:c>
      <x:c r="H106" s="29" t="str">
        <x:v>save</x:v>
      </x:c>
      <x:c r="I106" s="29" t="str">
        <x:v>checklist</x:v>
      </x:c>
      <x:c r="J106" s="36" t="str">
        <x:v>Draft</x:v>
      </x:c>
      <x:c r="K106" s="29" t="str">
        <x:v>Not autobiographical</x:v>
      </x:c>
    </x:row>
    <x:row r="107" ht="66" customHeight="1">
      <x:c r="A107" s="29" t="str">
        <x:v>BTB-106</x:v>
      </x:c>
      <x:c r="B107" s="62" t="n">
        <x:v>46428</x:v>
      </x:c>
      <x:c r="C107" s="64" t="n">
        <x:v>106</x:v>
      </x:c>
      <x:c r="D107" s="29" t="n">
        <x:v>4</x:v>
      </x:c>
      <x:c r="E107" s="64" t="str">
        <x:v>P4</x:v>
      </x:c>
      <x:c r="F107" s="29" t="str">
        <x:v>Trust, Without Losing Yourself</x:v>
      </x:c>
      <x:c r="G107" s="29" t="str">
        <x:v>You can talk about your past without making a new person hear the entire case.</x:v>
      </x:c>
      <x:c r="H107" s="29" t="str">
        <x:v>save</x:v>
      </x:c>
      <x:c r="I107" s="29" t="str">
        <x:v>script</x:v>
      </x:c>
      <x:c r="J107" s="36" t="str">
        <x:v>Draft</x:v>
      </x:c>
      <x:c r="K107" s="29" t="str">
        <x:v>Not autobiographical</x:v>
      </x:c>
    </x:row>
    <x:row r="108" ht="66" customHeight="1">
      <x:c r="A108" s="29" t="str">
        <x:v>BTB-107</x:v>
      </x:c>
      <x:c r="B108" s="62" t="n">
        <x:v>46429</x:v>
      </x:c>
      <x:c r="C108" s="64" t="n">
        <x:v>107</x:v>
      </x:c>
      <x:c r="D108" s="29" t="n">
        <x:v>4</x:v>
      </x:c>
      <x:c r="E108" s="64" t="str">
        <x:v>P5</x:v>
      </x:c>
      <x:c r="F108" s="29" t="str">
        <x:v>One Useful Next Step</x:v>
      </x:c>
      <x:c r="G108" s="29" t="str">
        <x:v>Give the weekend a realistic capacity—not an unlimited to-do list.</x:v>
      </x:c>
      <x:c r="H108" s="29" t="str">
        <x:v>save</x:v>
      </x:c>
      <x:c r="I108" s="29" t="str">
        <x:v>checklist</x:v>
      </x:c>
      <x:c r="J108" s="36" t="str">
        <x:v>Draft</x:v>
      </x:c>
      <x:c r="K108" s="29" t="str">
        <x:v>Not autobiographical</x:v>
      </x:c>
    </x:row>
    <x:row r="109" ht="66" customHeight="1">
      <x:c r="A109" s="29" t="str">
        <x:v>BTB-108</x:v>
      </x:c>
      <x:c r="B109" s="62" t="n">
        <x:v>46430</x:v>
      </x:c>
      <x:c r="C109" s="64" t="n">
        <x:v>108</x:v>
      </x:c>
      <x:c r="D109" s="29" t="n">
        <x:v>4</x:v>
      </x:c>
      <x:c r="E109" s="64" t="str">
        <x:v>P1</x:v>
      </x:c>
      <x:c r="F109" s="29" t="str">
        <x:v>The Part Nobody Sees</x:v>
      </x:c>
      <x:c r="G109" s="29" t="str">
        <x:v>Regret can point to a lesson without becoming your permanent address.</x:v>
      </x:c>
      <x:c r="H109" s="29" t="str">
        <x:v>share</x:v>
      </x:c>
      <x:c r="I109" s="29" t="str">
        <x:v>contrast</x:v>
      </x:c>
      <x:c r="J109" s="36" t="str">
        <x:v>Draft</x:v>
      </x:c>
      <x:c r="K109" s="29" t="str">
        <x:v>Not autobiographical</x:v>
      </x:c>
    </x:row>
    <x:row r="110" ht="66" customHeight="1">
      <x:c r="A110" s="29" t="str">
        <x:v>BTB-109</x:v>
      </x:c>
      <x:c r="B110" s="62" t="n">
        <x:v>46431</x:v>
      </x:c>
      <x:c r="C110" s="64" t="n">
        <x:v>109</x:v>
      </x:c>
      <x:c r="D110" s="29" t="n">
        <x:v>4</x:v>
      </x:c>
      <x:c r="E110" s="64" t="str">
        <x:v>P2</x:v>
      </x:c>
      <x:c r="F110" s="29" t="str">
        <x:v>When the Day Gets Heavy</x:v>
      </x:c>
      <x:c r="G110" s="29" t="str">
        <x:v>A day full of couple posts is not a report on your worth.</x:v>
      </x:c>
      <x:c r="H110" s="29" t="str">
        <x:v>share</x:v>
      </x:c>
      <x:c r="I110" s="29" t="str">
        <x:v>editorial</x:v>
      </x:c>
      <x:c r="J110" s="36" t="str">
        <x:v>Draft</x:v>
      </x:c>
      <x:c r="K110" s="29" t="str">
        <x:v>Not autobiographical</x:v>
      </x:c>
    </x:row>
    <x:row r="111" ht="66" customHeight="1">
      <x:c r="A111" s="29" t="str">
        <x:v>BTB-110</x:v>
      </x:c>
      <x:c r="B111" s="62" t="n">
        <x:v>46432</x:v>
      </x:c>
      <x:c r="C111" s="64" t="n">
        <x:v>110</x:v>
      </x:c>
      <x:c r="D111" s="29" t="n">
        <x:v>4</x:v>
      </x:c>
      <x:c r="E111" s="64" t="str">
        <x:v>P3</x:v>
      </x:c>
      <x:c r="F111" s="29" t="str">
        <x:v>Keep the Child Out of the Conflict</x:v>
      </x:c>
      <x:c r="G111" s="29" t="str">
        <x:v>Your child's affection is not evidence to collect.</x:v>
      </x:c>
      <x:c r="H111" s="29" t="str">
        <x:v>share</x:v>
      </x:c>
      <x:c r="I111" s="29" t="str">
        <x:v>editorial</x:v>
      </x:c>
      <x:c r="J111" s="36" t="str">
        <x:v>Draft</x:v>
      </x:c>
      <x:c r="K111" s="29" t="str">
        <x:v>Not autobiographical</x:v>
      </x:c>
    </x:row>
    <x:row r="112" ht="66" customHeight="1">
      <x:c r="A112" s="29" t="str">
        <x:v>BTB-111</x:v>
      </x:c>
      <x:c r="B112" s="62" t="n">
        <x:v>46433</x:v>
      </x:c>
      <x:c r="C112" s="64" t="n">
        <x:v>111</x:v>
      </x:c>
      <x:c r="D112" s="29" t="n">
        <x:v>4</x:v>
      </x:c>
      <x:c r="E112" s="64" t="str">
        <x:v>P4</x:v>
      </x:c>
      <x:c r="F112" s="29" t="str">
        <x:v>Trust, Without Losing Yourself</x:v>
      </x:c>
      <x:c r="G112" s="29" t="str">
        <x:v>Being chosen is not the same as being treated well.</x:v>
      </x:c>
      <x:c r="H112" s="29" t="str">
        <x:v>share</x:v>
      </x:c>
      <x:c r="I112" s="29" t="str">
        <x:v>contrast</x:v>
      </x:c>
      <x:c r="J112" s="36" t="str">
        <x:v>Draft</x:v>
      </x:c>
      <x:c r="K112" s="29" t="str">
        <x:v>Not autobiographical</x:v>
      </x:c>
    </x:row>
    <x:row r="113" ht="66" customHeight="1">
      <x:c r="A113" s="29" t="str">
        <x:v>BTB-112</x:v>
      </x:c>
      <x:c r="B113" s="62" t="n">
        <x:v>46434</x:v>
      </x:c>
      <x:c r="C113" s="64" t="n">
        <x:v>112</x:v>
      </x:c>
      <x:c r="D113" s="29" t="n">
        <x:v>4</x:v>
      </x:c>
      <x:c r="E113" s="64" t="str">
        <x:v>P5</x:v>
      </x:c>
      <x:c r="F113" s="29" t="str">
        <x:v>One Useful Next Step</x:v>
      </x:c>
      <x:c r="G113" s="29" t="str">
        <x:v>Restart the habit at a size that fits today.</x:v>
      </x:c>
      <x:c r="H113" s="29" t="str">
        <x:v>save</x:v>
      </x:c>
      <x:c r="I113" s="29" t="str">
        <x:v>checklist</x:v>
      </x:c>
      <x:c r="J113" s="36" t="str">
        <x:v>Draft</x:v>
      </x:c>
      <x:c r="K113" s="29" t="str">
        <x:v>Not autobiographical</x:v>
      </x:c>
    </x:row>
    <x:row r="114" ht="66" customHeight="1">
      <x:c r="A114" s="29" t="str">
        <x:v>BTB-113</x:v>
      </x:c>
      <x:c r="B114" s="62" t="n">
        <x:v>46435</x:v>
      </x:c>
      <x:c r="C114" s="64" t="n">
        <x:v>113</x:v>
      </x:c>
      <x:c r="D114" s="29" t="n">
        <x:v>4</x:v>
      </x:c>
      <x:c r="E114" s="64" t="str">
        <x:v>P1</x:v>
      </x:c>
      <x:c r="F114" s="29" t="str">
        <x:v>The Part Nobody Sees</x:v>
      </x:c>
      <x:c r="G114" s="29" t="str">
        <x:v>A form can describe your status without describing your life.</x:v>
      </x:c>
      <x:c r="H114" s="29" t="str">
        <x:v>share</x:v>
      </x:c>
      <x:c r="I114" s="29" t="str">
        <x:v>editorial</x:v>
      </x:c>
      <x:c r="J114" s="36" t="str">
        <x:v>Draft</x:v>
      </x:c>
      <x:c r="K114" s="29" t="str">
        <x:v>Not autobiographical</x:v>
      </x:c>
    </x:row>
    <x:row r="115" ht="66" customHeight="1">
      <x:c r="A115" s="29" t="str">
        <x:v>BTB-114</x:v>
      </x:c>
      <x:c r="B115" s="62" t="n">
        <x:v>46436</x:v>
      </x:c>
      <x:c r="C115" s="64" t="n">
        <x:v>114</x:v>
      </x:c>
      <x:c r="D115" s="29" t="n">
        <x:v>4</x:v>
      </x:c>
      <x:c r="E115" s="64" t="str">
        <x:v>P2</x:v>
      </x:c>
      <x:c r="F115" s="29" t="str">
        <x:v>When the Day Gets Heavy</x:v>
      </x:c>
      <x:c r="G115" s="29" t="str">
        <x:v>You can want company and need a quiet night.</x:v>
      </x:c>
      <x:c r="H115" s="29" t="str">
        <x:v>save</x:v>
      </x:c>
      <x:c r="I115" s="29" t="str">
        <x:v>contrast</x:v>
      </x:c>
      <x:c r="J115" s="36" t="str">
        <x:v>Draft</x:v>
      </x:c>
      <x:c r="K115" s="29" t="str">
        <x:v>Not autobiographical</x:v>
      </x:c>
    </x:row>
    <x:row r="116" ht="66" customHeight="1">
      <x:c r="A116" s="29" t="str">
        <x:v>BTB-115</x:v>
      </x:c>
      <x:c r="B116" s="62" t="n">
        <x:v>46437</x:v>
      </x:c>
      <x:c r="C116" s="64" t="n">
        <x:v>115</x:v>
      </x:c>
      <x:c r="D116" s="29" t="n">
        <x:v>4</x:v>
      </x:c>
      <x:c r="E116" s="64" t="str">
        <x:v>P3</x:v>
      </x:c>
      <x:c r="F116" s="29" t="str">
        <x:v>Keep the Child Out of the Conflict</x:v>
      </x:c>
      <x:c r="G116" s="29" t="str">
        <x:v>When you cannot keep a promise to your child, own the change clearly.</x:v>
      </x:c>
      <x:c r="H116" s="29" t="str">
        <x:v>save</x:v>
      </x:c>
      <x:c r="I116" s="29" t="str">
        <x:v>script</x:v>
      </x:c>
      <x:c r="J116" s="36" t="str">
        <x:v>Draft</x:v>
      </x:c>
      <x:c r="K116" s="29" t="str">
        <x:v>Not autobiographical</x:v>
      </x:c>
    </x:row>
    <x:row r="117" ht="66" customHeight="1">
      <x:c r="A117" s="29" t="str">
        <x:v>BTB-116</x:v>
      </x:c>
      <x:c r="B117" s="62" t="n">
        <x:v>46438</x:v>
      </x:c>
      <x:c r="C117" s="64" t="n">
        <x:v>116</x:v>
      </x:c>
      <x:c r="D117" s="29" t="n">
        <x:v>4</x:v>
      </x:c>
      <x:c r="E117" s="64" t="str">
        <x:v>P4</x:v>
      </x:c>
      <x:c r="F117" s="29" t="str">
        <x:v>Trust, Without Losing Yourself</x:v>
      </x:c>
      <x:c r="G117" s="29" t="str">
        <x:v>A strong connection still needs ordinary questions.</x:v>
      </x:c>
      <x:c r="H117" s="29" t="str">
        <x:v>save</x:v>
      </x:c>
      <x:c r="I117" s="29" t="str">
        <x:v>checklist</x:v>
      </x:c>
      <x:c r="J117" s="36" t="str">
        <x:v>Draft</x:v>
      </x:c>
      <x:c r="K117" s="29" t="str">
        <x:v>Not autobiographical</x:v>
      </x:c>
    </x:row>
    <x:row r="118" ht="66" customHeight="1">
      <x:c r="A118" s="29" t="str">
        <x:v>BTB-117</x:v>
      </x:c>
      <x:c r="B118" s="62" t="n">
        <x:v>46439</x:v>
      </x:c>
      <x:c r="C118" s="64" t="n">
        <x:v>117</x:v>
      </x:c>
      <x:c r="D118" s="29" t="n">
        <x:v>4</x:v>
      </x:c>
      <x:c r="E118" s="64" t="str">
        <x:v>P5</x:v>
      </x:c>
      <x:c r="F118" s="29" t="str">
        <x:v>One Useful Next Step</x:v>
      </x:c>
      <x:c r="G118" s="29" t="str">
        <x:v>Keep one promise to yourself instead of making six new ones.</x:v>
      </x:c>
      <x:c r="H118" s="29" t="str">
        <x:v>save</x:v>
      </x:c>
      <x:c r="I118" s="29" t="str">
        <x:v>contrast</x:v>
      </x:c>
      <x:c r="J118" s="36" t="str">
        <x:v>Draft</x:v>
      </x:c>
      <x:c r="K118" s="29" t="str">
        <x:v>Not autobiographical</x:v>
      </x:c>
    </x:row>
    <x:row r="119" ht="66" customHeight="1">
      <x:c r="A119" s="29" t="str">
        <x:v>BTB-118</x:v>
      </x:c>
      <x:c r="B119" s="62" t="n">
        <x:v>46440</x:v>
      </x:c>
      <x:c r="C119" s="64" t="n">
        <x:v>118</x:v>
      </x:c>
      <x:c r="D119" s="29" t="n">
        <x:v>4</x:v>
      </x:c>
      <x:c r="E119" s="64" t="str">
        <x:v>P1</x:v>
      </x:c>
      <x:c r="F119" s="29" t="str">
        <x:v>The Part Nobody Sees</x:v>
      </x:c>
      <x:c r="G119" s="29" t="str">
        <x:v>You may not get the explanation you wish the ending came with.</x:v>
      </x:c>
      <x:c r="H119" s="29" t="str">
        <x:v>share</x:v>
      </x:c>
      <x:c r="I119" s="29" t="str">
        <x:v>editorial</x:v>
      </x:c>
      <x:c r="J119" s="36" t="str">
        <x:v>Draft</x:v>
      </x:c>
      <x:c r="K119" s="29" t="str">
        <x:v>Not autobiographical</x:v>
      </x:c>
    </x:row>
    <x:row r="120" ht="66" customHeight="1">
      <x:c r="A120" s="29" t="str">
        <x:v>BTB-119</x:v>
      </x:c>
      <x:c r="B120" s="62" t="n">
        <x:v>46441</x:v>
      </x:c>
      <x:c r="C120" s="64" t="n">
        <x:v>119</x:v>
      </x:c>
      <x:c r="D120" s="29" t="n">
        <x:v>4</x:v>
      </x:c>
      <x:c r="E120" s="64" t="str">
        <x:v>P2</x:v>
      </x:c>
      <x:c r="F120" s="29" t="str">
        <x:v>When the Day Gets Heavy</x:v>
      </x:c>
      <x:c r="G120" s="29" t="str">
        <x:v>When a friend goes quiet, ask before writing the whole story yourself.</x:v>
      </x:c>
      <x:c r="H120" s="29" t="str">
        <x:v>save</x:v>
      </x:c>
      <x:c r="I120" s="29" t="str">
        <x:v>script</x:v>
      </x:c>
      <x:c r="J120" s="36" t="str">
        <x:v>Draft</x:v>
      </x:c>
      <x:c r="K120" s="29" t="str">
        <x:v>Not autobiographical</x:v>
      </x:c>
    </x:row>
    <x:row r="121" ht="66" customHeight="1">
      <x:c r="A121" s="29" t="str">
        <x:v>BTB-120</x:v>
      </x:c>
      <x:c r="B121" s="62" t="n">
        <x:v>46442</x:v>
      </x:c>
      <x:c r="C121" s="64" t="n">
        <x:v>120</x:v>
      </x:c>
      <x:c r="D121" s="29" t="n">
        <x:v>4</x:v>
      </x:c>
      <x:c r="E121" s="64" t="str">
        <x:v>P6</x:v>
      </x:c>
      <x:c r="F121" s="29" t="str">
        <x:v>Notes From the Rebuild</x:v>
      </x:c>
      <x:c r="G121" s="29" t="str">
        <x:v>The audience can shape this page. It will not erase its boundaries.</x:v>
      </x:c>
      <x:c r="H121" s="29" t="str">
        <x:v>follow</x:v>
      </x:c>
      <x:c r="I121" s="29" t="str">
        <x:v>letter</x:v>
      </x:c>
      <x:c r="J121" s="36" t="str">
        <x:v>Draft</x:v>
      </x:c>
      <x:c r="K121" s="29" t="str">
        <x:v>Required</x:v>
      </x:c>
    </x:row>
    <x:row r="122" ht="66" customHeight="1">
      <x:c r="A122" s="29" t="str">
        <x:v>BTB-121</x:v>
      </x:c>
      <x:c r="B122" s="62" t="n">
        <x:v>46443</x:v>
      </x:c>
      <x:c r="C122" s="64" t="n">
        <x:v>121</x:v>
      </x:c>
      <x:c r="D122" s="29" t="n">
        <x:v>5</x:v>
      </x:c>
      <x:c r="E122" s="64" t="str">
        <x:v>P1</x:v>
      </x:c>
      <x:c r="F122" s="29" t="str">
        <x:v>The Part Nobody Sees</x:v>
      </x:c>
      <x:c r="G122" s="29" t="str">
        <x:v>Enjoying your life again does not mean the past meant nothing.</x:v>
      </x:c>
      <x:c r="H122" s="29" t="str">
        <x:v>share</x:v>
      </x:c>
      <x:c r="I122" s="29" t="str">
        <x:v>editorial</x:v>
      </x:c>
      <x:c r="J122" s="36" t="str">
        <x:v>Draft</x:v>
      </x:c>
      <x:c r="K122" s="29" t="str">
        <x:v>Not autobiographical</x:v>
      </x:c>
    </x:row>
    <x:row r="123" ht="66" customHeight="1">
      <x:c r="A123" s="29" t="str">
        <x:v>BTB-122</x:v>
      </x:c>
      <x:c r="B123" s="62" t="n">
        <x:v>46444</x:v>
      </x:c>
      <x:c r="C123" s="64" t="n">
        <x:v>122</x:v>
      </x:c>
      <x:c r="D123" s="29" t="n">
        <x:v>5</x:v>
      </x:c>
      <x:c r="E123" s="64" t="str">
        <x:v>P2</x:v>
      </x:c>
      <x:c r="F123" s="29" t="str">
        <x:v>When the Day Gets Heavy</x:v>
      </x:c>
      <x:c r="G123" s="29" t="str">
        <x:v>You can answer the question without answering every accusation around it.</x:v>
      </x:c>
      <x:c r="H123" s="29" t="str">
        <x:v>save</x:v>
      </x:c>
      <x:c r="I123" s="29" t="str">
        <x:v>script</x:v>
      </x:c>
      <x:c r="J123" s="36" t="str">
        <x:v>Draft</x:v>
      </x:c>
      <x:c r="K123" s="29" t="str">
        <x:v>Not autobiographical</x:v>
      </x:c>
    </x:row>
    <x:row r="124" ht="66" customHeight="1">
      <x:c r="A124" s="29" t="str">
        <x:v>BTB-123</x:v>
      </x:c>
      <x:c r="B124" s="62" t="n">
        <x:v>46445</x:v>
      </x:c>
      <x:c r="C124" s="64" t="n">
        <x:v>123</x:v>
      </x:c>
      <x:c r="D124" s="29" t="n">
        <x:v>5</x:v>
      </x:c>
      <x:c r="E124" s="64" t="str">
        <x:v>P3</x:v>
      </x:c>
      <x:c r="F124" s="29" t="str">
        <x:v>Keep the Child Out of the Conflict</x:v>
      </x:c>
      <x:c r="G124" s="29" t="str">
        <x:v>A request is clearer when the decision and timing are visible.</x:v>
      </x:c>
      <x:c r="H124" s="29" t="str">
        <x:v>save</x:v>
      </x:c>
      <x:c r="I124" s="29" t="str">
        <x:v>script</x:v>
      </x:c>
      <x:c r="J124" s="36" t="str">
        <x:v>Draft</x:v>
      </x:c>
      <x:c r="K124" s="29" t="str">
        <x:v>Not autobiographical</x:v>
      </x:c>
    </x:row>
    <x:row r="125" ht="66" customHeight="1">
      <x:c r="A125" s="29" t="str">
        <x:v>BTB-124</x:v>
      </x:c>
      <x:c r="B125" s="62" t="n">
        <x:v>46446</x:v>
      </x:c>
      <x:c r="C125" s="64" t="n">
        <x:v>124</x:v>
      </x:c>
      <x:c r="D125" s="29" t="n">
        <x:v>5</x:v>
      </x:c>
      <x:c r="E125" s="64" t="str">
        <x:v>P4</x:v>
      </x:c>
      <x:c r="F125" s="29" t="str">
        <x:v>Trust, Without Losing Yourself</x:v>
      </x:c>
      <x:c r="G125" s="29" t="str">
        <x:v>You can accept an apology without pretending the issue is finished.</x:v>
      </x:c>
      <x:c r="H125" s="29" t="str">
        <x:v>share</x:v>
      </x:c>
      <x:c r="I125" s="29" t="str">
        <x:v>contrast</x:v>
      </x:c>
      <x:c r="J125" s="36" t="str">
        <x:v>Draft</x:v>
      </x:c>
      <x:c r="K125" s="29" t="str">
        <x:v>Not autobiographical</x:v>
      </x:c>
    </x:row>
    <x:row r="126" ht="66" customHeight="1">
      <x:c r="A126" s="29" t="str">
        <x:v>BTB-125</x:v>
      </x:c>
      <x:c r="B126" s="62" t="n">
        <x:v>46447</x:v>
      </x:c>
      <x:c r="C126" s="64" t="n">
        <x:v>125</x:v>
      </x:c>
      <x:c r="D126" s="29" t="n">
        <x:v>5</x:v>
      </x:c>
      <x:c r="E126" s="64" t="str">
        <x:v>P5</x:v>
      </x:c>
      <x:c r="F126" s="29" t="str">
        <x:v>One Useful Next Step</x:v>
      </x:c>
      <x:c r="G126" s="29" t="str">
        <x:v>Write down the cost of staying undecided.</x:v>
      </x:c>
      <x:c r="H126" s="29" t="str">
        <x:v>save</x:v>
      </x:c>
      <x:c r="I126" s="29" t="str">
        <x:v>checklist</x:v>
      </x:c>
      <x:c r="J126" s="36" t="str">
        <x:v>Draft</x:v>
      </x:c>
      <x:c r="K126" s="29" t="str">
        <x:v>Not autobiographical</x:v>
      </x:c>
    </x:row>
    <x:row r="127" ht="66" customHeight="1">
      <x:c r="A127" s="29" t="str">
        <x:v>BTB-126</x:v>
      </x:c>
      <x:c r="B127" s="62" t="n">
        <x:v>46448</x:v>
      </x:c>
      <x:c r="C127" s="64" t="n">
        <x:v>126</x:v>
      </x:c>
      <x:c r="D127" s="29" t="n">
        <x:v>5</x:v>
      </x:c>
      <x:c r="E127" s="64" t="str">
        <x:v>P1</x:v>
      </x:c>
      <x:c r="F127" s="29" t="str">
        <x:v>The Part Nobody Sees</x:v>
      </x:c>
      <x:c r="G127" s="29" t="str">
        <x:v>Your next chapter does not need a relationship to count as a life.</x:v>
      </x:c>
      <x:c r="H127" s="29" t="str">
        <x:v>share</x:v>
      </x:c>
      <x:c r="I127" s="29" t="str">
        <x:v>editorial</x:v>
      </x:c>
      <x:c r="J127" s="36" t="str">
        <x:v>Draft</x:v>
      </x:c>
      <x:c r="K127" s="29" t="str">
        <x:v>Not autobiographical</x:v>
      </x:c>
    </x:row>
    <x:row r="128" ht="66" customHeight="1">
      <x:c r="A128" s="29" t="str">
        <x:v>BTB-127</x:v>
      </x:c>
      <x:c r="B128" s="62" t="n">
        <x:v>46449</x:v>
      </x:c>
      <x:c r="C128" s="64" t="n">
        <x:v>127</x:v>
      </x:c>
      <x:c r="D128" s="29" t="n">
        <x:v>5</x:v>
      </x:c>
      <x:c r="E128" s="64" t="str">
        <x:v>P2</x:v>
      </x:c>
      <x:c r="F128" s="29" t="str">
        <x:v>When the Day Gets Heavy</x:v>
      </x:c>
      <x:c r="G128" s="29" t="str">
        <x:v>A support conversation can include something besides the crisis.</x:v>
      </x:c>
      <x:c r="H128" s="29" t="str">
        <x:v>save</x:v>
      </x:c>
      <x:c r="I128" s="29" t="str">
        <x:v>script</x:v>
      </x:c>
      <x:c r="J128" s="36" t="str">
        <x:v>Draft</x:v>
      </x:c>
      <x:c r="K128" s="29" t="str">
        <x:v>Not autobiographical</x:v>
      </x:c>
    </x:row>
    <x:row r="129" ht="66" customHeight="1">
      <x:c r="A129" s="29" t="str">
        <x:v>BTB-128</x:v>
      </x:c>
      <x:c r="B129" s="62" t="n">
        <x:v>46450</x:v>
      </x:c>
      <x:c r="C129" s="64" t="n">
        <x:v>128</x:v>
      </x:c>
      <x:c r="D129" s="29" t="n">
        <x:v>5</x:v>
      </x:c>
      <x:c r="E129" s="64" t="str">
        <x:v>P5</x:v>
      </x:c>
      <x:c r="F129" s="29" t="str">
        <x:v>One Useful Next Step</x:v>
      </x:c>
      <x:c r="G129" s="29" t="str">
        <x:v>Keep evidence of your skills somewhere you can find it.</x:v>
      </x:c>
      <x:c r="H129" s="29" t="str">
        <x:v>save</x:v>
      </x:c>
      <x:c r="I129" s="29" t="str">
        <x:v>checklist</x:v>
      </x:c>
      <x:c r="J129" s="36" t="str">
        <x:v>Draft</x:v>
      </x:c>
      <x:c r="K129" s="29" t="str">
        <x:v>Not autobiographical</x:v>
      </x:c>
    </x:row>
    <x:row r="130" ht="66" customHeight="1">
      <x:c r="A130" s="29" t="str">
        <x:v>BTB-129</x:v>
      </x:c>
      <x:c r="B130" s="62" t="n">
        <x:v>46451</x:v>
      </x:c>
      <x:c r="C130" s="64" t="n">
        <x:v>129</x:v>
      </x:c>
      <x:c r="D130" s="29" t="n">
        <x:v>5</x:v>
      </x:c>
      <x:c r="E130" s="64" t="str">
        <x:v>P3</x:v>
      </x:c>
      <x:c r="F130" s="29" t="str">
        <x:v>Keep the Child Out of the Conflict</x:v>
      </x:c>
      <x:c r="G130" s="29" t="str">
        <x:v>A familiar routine does not need a perfect day around it.</x:v>
      </x:c>
      <x:c r="H130" s="29" t="str">
        <x:v>save</x:v>
      </x:c>
      <x:c r="I130" s="29" t="str">
        <x:v>checklist</x:v>
      </x:c>
      <x:c r="J130" s="36" t="str">
        <x:v>Draft</x:v>
      </x:c>
      <x:c r="K130" s="29" t="str">
        <x:v>Not autobiographical</x:v>
      </x:c>
    </x:row>
    <x:row r="131" ht="66" customHeight="1">
      <x:c r="A131" s="29" t="str">
        <x:v>BTB-130</x:v>
      </x:c>
      <x:c r="B131" s="62" t="n">
        <x:v>46452</x:v>
      </x:c>
      <x:c r="C131" s="64" t="n">
        <x:v>130</x:v>
      </x:c>
      <x:c r="D131" s="29" t="n">
        <x:v>5</x:v>
      </x:c>
      <x:c r="E131" s="64" t="str">
        <x:v>P4</x:v>
      </x:c>
      <x:c r="F131" s="29" t="str">
        <x:v>Trust, Without Losing Yourself</x:v>
      </x:c>
      <x:c r="G131" s="29" t="str">
        <x:v>After the apology, agree on the next ordinary action.</x:v>
      </x:c>
      <x:c r="H131" s="29" t="str">
        <x:v>save</x:v>
      </x:c>
      <x:c r="I131" s="29" t="str">
        <x:v>checklist</x:v>
      </x:c>
      <x:c r="J131" s="36" t="str">
        <x:v>Draft</x:v>
      </x:c>
      <x:c r="K131" s="29" t="str">
        <x:v>Not autobiographical</x:v>
      </x:c>
    </x:row>
    <x:row r="132" ht="66" customHeight="1">
      <x:c r="A132" s="29" t="str">
        <x:v>BTB-131</x:v>
      </x:c>
      <x:c r="B132" s="62" t="n">
        <x:v>46453</x:v>
      </x:c>
      <x:c r="C132" s="64" t="n">
        <x:v>131</x:v>
      </x:c>
      <x:c r="D132" s="29" t="n">
        <x:v>5</x:v>
      </x:c>
      <x:c r="E132" s="64" t="str">
        <x:v>P1</x:v>
      </x:c>
      <x:c r="F132" s="29" t="str">
        <x:v>The Part Nobody Sees</x:v>
      </x:c>
      <x:c r="G132" s="29" t="str">
        <x:v>A steadier life may not feel like a dramatic comeback.</x:v>
      </x:c>
      <x:c r="H132" s="29" t="str">
        <x:v>share</x:v>
      </x:c>
      <x:c r="I132" s="29" t="str">
        <x:v>contrast</x:v>
      </x:c>
      <x:c r="J132" s="36" t="str">
        <x:v>Draft</x:v>
      </x:c>
      <x:c r="K132" s="29" t="str">
        <x:v>Not autobiographical</x:v>
      </x:c>
    </x:row>
    <x:row r="133" ht="66" customHeight="1">
      <x:c r="A133" s="29" t="str">
        <x:v>BTB-132</x:v>
      </x:c>
      <x:c r="B133" s="62" t="n">
        <x:v>46454</x:v>
      </x:c>
      <x:c r="C133" s="64" t="n">
        <x:v>132</x:v>
      </x:c>
      <x:c r="D133" s="29" t="n">
        <x:v>5</x:v>
      </x:c>
      <x:c r="E133" s="64" t="str">
        <x:v>P2</x:v>
      </x:c>
      <x:c r="F133" s="29" t="str">
        <x:v>When the Day Gets Heavy</x:v>
      </x:c>
      <x:c r="G133" s="29" t="str">
        <x:v>Someone else's new chapter is not a verdict on your pace.</x:v>
      </x:c>
      <x:c r="H133" s="29" t="str">
        <x:v>share</x:v>
      </x:c>
      <x:c r="I133" s="29" t="str">
        <x:v>editorial</x:v>
      </x:c>
      <x:c r="J133" s="36" t="str">
        <x:v>Draft</x:v>
      </x:c>
      <x:c r="K133" s="29" t="str">
        <x:v>Not autobiographical</x:v>
      </x:c>
    </x:row>
    <x:row r="134" ht="66" customHeight="1">
      <x:c r="A134" s="29" t="str">
        <x:v>BTB-133</x:v>
      </x:c>
      <x:c r="B134" s="62" t="n">
        <x:v>46455</x:v>
      </x:c>
      <x:c r="C134" s="64" t="n">
        <x:v>133</x:v>
      </x:c>
      <x:c r="D134" s="29" t="n">
        <x:v>5</x:v>
      </x:c>
      <x:c r="E134" s="64" t="str">
        <x:v>P5</x:v>
      </x:c>
      <x:c r="F134" s="29" t="str">
        <x:v>One Useful Next Step</x:v>
      </x:c>
      <x:c r="G134" s="29" t="str">
        <x:v>Ask the right professional the right question.</x:v>
      </x:c>
      <x:c r="H134" s="29" t="str">
        <x:v>save</x:v>
      </x:c>
      <x:c r="I134" s="29" t="str">
        <x:v>checklist</x:v>
      </x:c>
      <x:c r="J134" s="36" t="str">
        <x:v>Draft</x:v>
      </x:c>
      <x:c r="K134" s="29" t="str">
        <x:v>Not autobiographical</x:v>
      </x:c>
    </x:row>
    <x:row r="135" ht="66" customHeight="1">
      <x:c r="A135" s="29" t="str">
        <x:v>BTB-134</x:v>
      </x:c>
      <x:c r="B135" s="62" t="n">
        <x:v>46456</x:v>
      </x:c>
      <x:c r="C135" s="64" t="n">
        <x:v>134</x:v>
      </x:c>
      <x:c r="D135" s="29" t="n">
        <x:v>5</x:v>
      </x:c>
      <x:c r="E135" s="64" t="str">
        <x:v>P6</x:v>
      </x:c>
      <x:c r="F135" s="29" t="str">
        <x:v>Notes From the Rebuild</x:v>
      </x:c>
      <x:c r="G135" s="29" t="str">
        <x:v>I will not borrow someone else's timeline and call it motivation.</x:v>
      </x:c>
      <x:c r="H135" s="29" t="str">
        <x:v>follow</x:v>
      </x:c>
      <x:c r="I135" s="29" t="str">
        <x:v>letter</x:v>
      </x:c>
      <x:c r="J135" s="36" t="str">
        <x:v>Draft</x:v>
      </x:c>
      <x:c r="K135" s="29" t="str">
        <x:v>Required</x:v>
      </x:c>
    </x:row>
    <x:row r="136" ht="66" customHeight="1">
      <x:c r="A136" s="29" t="str">
        <x:v>BTB-135</x:v>
      </x:c>
      <x:c r="B136" s="62" t="n">
        <x:v>46457</x:v>
      </x:c>
      <x:c r="C136" s="64" t="n">
        <x:v>135</x:v>
      </x:c>
      <x:c r="D136" s="29" t="n">
        <x:v>5</x:v>
      </x:c>
      <x:c r="E136" s="64" t="str">
        <x:v>P3</x:v>
      </x:c>
      <x:c r="F136" s="29" t="str">
        <x:v>Keep the Child Out of the Conflict</x:v>
      </x:c>
      <x:c r="G136" s="29" t="str">
        <x:v>Before posting about parenting, remove the details that belong to your child.</x:v>
      </x:c>
      <x:c r="H136" s="29" t="str">
        <x:v>save</x:v>
      </x:c>
      <x:c r="I136" s="29" t="str">
        <x:v>checklist</x:v>
      </x:c>
      <x:c r="J136" s="36" t="str">
        <x:v>Draft</x:v>
      </x:c>
      <x:c r="K136" s="29" t="str">
        <x:v>Not autobiographical</x:v>
      </x:c>
    </x:row>
    <x:row r="137" ht="66" customHeight="1">
      <x:c r="A137" s="29" t="str">
        <x:v>BTB-136</x:v>
      </x:c>
      <x:c r="B137" s="62" t="n">
        <x:v>46458</x:v>
      </x:c>
      <x:c r="C137" s="64" t="n">
        <x:v>136</x:v>
      </x:c>
      <x:c r="D137" s="29" t="n">
        <x:v>5</x:v>
      </x:c>
      <x:c r="E137" s="64" t="str">
        <x:v>P4</x:v>
      </x:c>
      <x:c r="F137" s="29" t="str">
        <x:v>Trust, Without Losing Yourself</x:v>
      </x:c>
      <x:c r="G137" s="29" t="str">
        <x:v>“They could be different” is not the same as “something has changed.”</x:v>
      </x:c>
      <x:c r="H137" s="29" t="str">
        <x:v>share</x:v>
      </x:c>
      <x:c r="I137" s="29" t="str">
        <x:v>contrast</x:v>
      </x:c>
      <x:c r="J137" s="36" t="str">
        <x:v>Draft</x:v>
      </x:c>
      <x:c r="K137" s="29" t="str">
        <x:v>Not autobiographical</x:v>
      </x:c>
    </x:row>
    <x:row r="138" ht="66" customHeight="1">
      <x:c r="A138" s="29" t="str">
        <x:v>BTB-137</x:v>
      </x:c>
      <x:c r="B138" s="62" t="n">
        <x:v>46459</x:v>
      </x:c>
      <x:c r="C138" s="64" t="n">
        <x:v>137</x:v>
      </x:c>
      <x:c r="D138" s="29" t="n">
        <x:v>5</x:v>
      </x:c>
      <x:c r="E138" s="64" t="str">
        <x:v>P5</x:v>
      </x:c>
      <x:c r="F138" s="29" t="str">
        <x:v>One Useful Next Step</x:v>
      </x:c>
      <x:c r="G138" s="29" t="str">
        <x:v>Make the morning easier before it becomes the morning.</x:v>
      </x:c>
      <x:c r="H138" s="29" t="str">
        <x:v>save</x:v>
      </x:c>
      <x:c r="I138" s="29" t="str">
        <x:v>checklist</x:v>
      </x:c>
      <x:c r="J138" s="36" t="str">
        <x:v>Draft</x:v>
      </x:c>
      <x:c r="K138" s="29" t="str">
        <x:v>Not autobiographical</x:v>
      </x:c>
    </x:row>
    <x:row r="139" ht="66" customHeight="1">
      <x:c r="A139" s="29" t="str">
        <x:v>BTB-138</x:v>
      </x:c>
      <x:c r="B139" s="62" t="n">
        <x:v>46460</x:v>
      </x:c>
      <x:c r="C139" s="64" t="n">
        <x:v>138</x:v>
      </x:c>
      <x:c r="D139" s="29" t="n">
        <x:v>5</x:v>
      </x:c>
      <x:c r="E139" s="64" t="str">
        <x:v>P1</x:v>
      </x:c>
      <x:c r="F139" s="29" t="str">
        <x:v>The Part Nobody Sees</x:v>
      </x:c>
      <x:c r="G139" s="29" t="str">
        <x:v>Hope does not need to name the date everything will be fine.</x:v>
      </x:c>
      <x:c r="H139" s="29" t="str">
        <x:v>share</x:v>
      </x:c>
      <x:c r="I139" s="29" t="str">
        <x:v>editorial</x:v>
      </x:c>
      <x:c r="J139" s="36" t="str">
        <x:v>Draft</x:v>
      </x:c>
      <x:c r="K139" s="29" t="str">
        <x:v>Not autobiographical</x:v>
      </x:c>
    </x:row>
    <x:row r="140" ht="66" customHeight="1">
      <x:c r="A140" s="29" t="str">
        <x:v>BTB-139</x:v>
      </x:c>
      <x:c r="B140" s="62" t="n">
        <x:v>46461</x:v>
      </x:c>
      <x:c r="C140" s="64" t="n">
        <x:v>139</x:v>
      </x:c>
      <x:c r="D140" s="29" t="n">
        <x:v>5</x:v>
      </x:c>
      <x:c r="E140" s="64" t="str">
        <x:v>P2</x:v>
      </x:c>
      <x:c r="F140" s="29" t="str">
        <x:v>When the Day Gets Heavy</x:v>
      </x:c>
      <x:c r="G140" s="29" t="str">
        <x:v>You can tell someone you are unsure without asking them to choose for you.</x:v>
      </x:c>
      <x:c r="H140" s="29" t="str">
        <x:v>save</x:v>
      </x:c>
      <x:c r="I140" s="29" t="str">
        <x:v>script</x:v>
      </x:c>
      <x:c r="J140" s="36" t="str">
        <x:v>Draft</x:v>
      </x:c>
      <x:c r="K140" s="29" t="str">
        <x:v>Not autobiographical</x:v>
      </x:c>
    </x:row>
    <x:row r="141" ht="66" customHeight="1">
      <x:c r="A141" s="29" t="str">
        <x:v>BTB-140</x:v>
      </x:c>
      <x:c r="B141" s="62" t="n">
        <x:v>46462</x:v>
      </x:c>
      <x:c r="C141" s="64" t="n">
        <x:v>140</x:v>
      </x:c>
      <x:c r="D141" s="29" t="n">
        <x:v>5</x:v>
      </x:c>
      <x:c r="E141" s="64" t="str">
        <x:v>P3</x:v>
      </x:c>
      <x:c r="F141" s="29" t="str">
        <x:v>Keep the Child Out of the Conflict</x:v>
      </x:c>
      <x:c r="G141" s="29" t="str">
        <x:v>A child's activity plan includes the transport, not just the registration.</x:v>
      </x:c>
      <x:c r="H141" s="29" t="str">
        <x:v>save</x:v>
      </x:c>
      <x:c r="I141" s="29" t="str">
        <x:v>checklist</x:v>
      </x:c>
      <x:c r="J141" s="36" t="str">
        <x:v>Draft</x:v>
      </x:c>
      <x:c r="K141" s="29" t="str">
        <x:v>Not autobiographical</x:v>
      </x:c>
    </x:row>
    <x:row r="142" ht="66" customHeight="1">
      <x:c r="A142" s="29" t="str">
        <x:v>BTB-141</x:v>
      </x:c>
      <x:c r="B142" s="62" t="n">
        <x:v>46463</x:v>
      </x:c>
      <x:c r="C142" s="64" t="n">
        <x:v>141</x:v>
      </x:c>
      <x:c r="D142" s="29" t="n">
        <x:v>5</x:v>
      </x:c>
      <x:c r="E142" s="64" t="str">
        <x:v>P4</x:v>
      </x:c>
      <x:c r="F142" s="29" t="str">
        <x:v>Trust, Without Losing Yourself</x:v>
      </x:c>
      <x:c r="G142" s="29" t="str">
        <x:v>You can receive care without proving you could have managed alone.</x:v>
      </x:c>
      <x:c r="H142" s="29" t="str">
        <x:v>share</x:v>
      </x:c>
      <x:c r="I142" s="29" t="str">
        <x:v>editorial</x:v>
      </x:c>
      <x:c r="J142" s="36" t="str">
        <x:v>Draft</x:v>
      </x:c>
      <x:c r="K142" s="29" t="str">
        <x:v>Not autobiographical</x:v>
      </x:c>
    </x:row>
    <x:row r="143" ht="66" customHeight="1">
      <x:c r="A143" s="29" t="str">
        <x:v>BTB-142</x:v>
      </x:c>
      <x:c r="B143" s="62" t="n">
        <x:v>46464</x:v>
      </x:c>
      <x:c r="C143" s="64" t="n">
        <x:v>142</x:v>
      </x:c>
      <x:c r="D143" s="29" t="n">
        <x:v>5</x:v>
      </x:c>
      <x:c r="E143" s="64" t="str">
        <x:v>P5</x:v>
      </x:c>
      <x:c r="F143" s="29" t="str">
        <x:v>One Useful Next Step</x:v>
      </x:c>
      <x:c r="G143" s="29" t="str">
        <x:v>A project deserves an honest review—not endless rescue attempts.</x:v>
      </x:c>
      <x:c r="H143" s="29" t="str">
        <x:v>save</x:v>
      </x:c>
      <x:c r="I143" s="29" t="str">
        <x:v>checklist</x:v>
      </x:c>
      <x:c r="J143" s="36" t="str">
        <x:v>Draft</x:v>
      </x:c>
      <x:c r="K143" s="29" t="str">
        <x:v>Not autobiographical</x:v>
      </x:c>
    </x:row>
    <x:row r="144" ht="66" customHeight="1">
      <x:c r="A144" s="29" t="str">
        <x:v>BTB-143</x:v>
      </x:c>
      <x:c r="B144" s="62" t="n">
        <x:v>46465</x:v>
      </x:c>
      <x:c r="C144" s="64" t="n">
        <x:v>143</x:v>
      </x:c>
      <x:c r="D144" s="29" t="n">
        <x:v>5</x:v>
      </x:c>
      <x:c r="E144" s="64" t="str">
        <x:v>P1</x:v>
      </x:c>
      <x:c r="F144" s="29" t="str">
        <x:v>The Part Nobody Sees</x:v>
      </x:c>
      <x:c r="G144" s="29" t="str">
        <x:v>Ambition can be a direction without becoming an escape route.</x:v>
      </x:c>
      <x:c r="H144" s="29" t="str">
        <x:v>share</x:v>
      </x:c>
      <x:c r="I144" s="29" t="str">
        <x:v>contrast</x:v>
      </x:c>
      <x:c r="J144" s="36" t="str">
        <x:v>Draft</x:v>
      </x:c>
      <x:c r="K144" s="29" t="str">
        <x:v>Not autobiographical</x:v>
      </x:c>
    </x:row>
    <x:row r="145" ht="66" customHeight="1">
      <x:c r="A145" s="29" t="str">
        <x:v>BTB-144</x:v>
      </x:c>
      <x:c r="B145" s="62" t="n">
        <x:v>46466</x:v>
      </x:c>
      <x:c r="C145" s="64" t="n">
        <x:v>144</x:v>
      </x:c>
      <x:c r="D145" s="29" t="n">
        <x:v>5</x:v>
      </x:c>
      <x:c r="E145" s="64" t="str">
        <x:v>P2</x:v>
      </x:c>
      <x:c r="F145" s="29" t="str">
        <x:v>When the Day Gets Heavy</x:v>
      </x:c>
      <x:c r="G145" s="29" t="str">
        <x:v>Make room for an interest that does not have to become income.</x:v>
      </x:c>
      <x:c r="H145" s="29" t="str">
        <x:v>save</x:v>
      </x:c>
      <x:c r="I145" s="29" t="str">
        <x:v>checklist</x:v>
      </x:c>
      <x:c r="J145" s="36" t="str">
        <x:v>Draft</x:v>
      </x:c>
      <x:c r="K145" s="29" t="str">
        <x:v>Not autobiographical</x:v>
      </x:c>
    </x:row>
    <x:row r="146" ht="66" customHeight="1">
      <x:c r="A146" s="29" t="str">
        <x:v>BTB-145</x:v>
      </x:c>
      <x:c r="B146" s="62" t="n">
        <x:v>46467</x:v>
      </x:c>
      <x:c r="C146" s="64" t="n">
        <x:v>145</x:v>
      </x:c>
      <x:c r="D146" s="29" t="n">
        <x:v>5</x:v>
      </x:c>
      <x:c r="E146" s="64" t="str">
        <x:v>P3</x:v>
      </x:c>
      <x:c r="F146" s="29" t="str">
        <x:v>Keep the Child Out of the Conflict</x:v>
      </x:c>
      <x:c r="G146" s="29" t="str">
        <x:v>Your adult life should not depend on your child being constantly available.</x:v>
      </x:c>
      <x:c r="H146" s="29" t="str">
        <x:v>share</x:v>
      </x:c>
      <x:c r="I146" s="29" t="str">
        <x:v>editorial</x:v>
      </x:c>
      <x:c r="J146" s="36" t="str">
        <x:v>Draft</x:v>
      </x:c>
      <x:c r="K146" s="29" t="str">
        <x:v>Not autobiographical</x:v>
      </x:c>
    </x:row>
    <x:row r="147" ht="66" customHeight="1">
      <x:c r="A147" s="29" t="str">
        <x:v>BTB-146</x:v>
      </x:c>
      <x:c r="B147" s="62" t="n">
        <x:v>46468</x:v>
      </x:c>
      <x:c r="C147" s="64" t="n">
        <x:v>146</x:v>
      </x:c>
      <x:c r="D147" s="29" t="n">
        <x:v>5</x:v>
      </x:c>
      <x:c r="E147" s="64" t="str">
        <x:v>P4</x:v>
      </x:c>
      <x:c r="F147" s="29" t="str">
        <x:v>Trust, Without Losing Yourself</x:v>
      </x:c>
      <x:c r="G147" s="29" t="str">
        <x:v>You do not have to match someone else's speed of closeness.</x:v>
      </x:c>
      <x:c r="H147" s="29" t="str">
        <x:v>save</x:v>
      </x:c>
      <x:c r="I147" s="29" t="str">
        <x:v>contrast</x:v>
      </x:c>
      <x:c r="J147" s="36" t="str">
        <x:v>Draft</x:v>
      </x:c>
      <x:c r="K147" s="29" t="str">
        <x:v>Not autobiographical</x:v>
      </x:c>
    </x:row>
    <x:row r="148" ht="66" customHeight="1">
      <x:c r="A148" s="29" t="str">
        <x:v>BTB-147</x:v>
      </x:c>
      <x:c r="B148" s="62" t="n">
        <x:v>46469</x:v>
      </x:c>
      <x:c r="C148" s="64" t="n">
        <x:v>147</x:v>
      </x:c>
      <x:c r="D148" s="29" t="n">
        <x:v>5</x:v>
      </x:c>
      <x:c r="E148" s="64" t="str">
        <x:v>P5</x:v>
      </x:c>
      <x:c r="F148" s="29" t="str">
        <x:v>One Useful Next Step</x:v>
      </x:c>
      <x:c r="G148" s="29" t="str">
        <x:v>Ask for one practical thing, not “help with everything.”</x:v>
      </x:c>
      <x:c r="H148" s="29" t="str">
        <x:v>save</x:v>
      </x:c>
      <x:c r="I148" s="29" t="str">
        <x:v>script</x:v>
      </x:c>
      <x:c r="J148" s="36" t="str">
        <x:v>Draft</x:v>
      </x:c>
      <x:c r="K148" s="29" t="str">
        <x:v>Not autobiographical</x:v>
      </x:c>
    </x:row>
    <x:row r="149" ht="66" customHeight="1">
      <x:c r="A149" s="29" t="str">
        <x:v>BTB-148</x:v>
      </x:c>
      <x:c r="B149" s="62" t="n">
        <x:v>46470</x:v>
      </x:c>
      <x:c r="C149" s="64" t="n">
        <x:v>148</x:v>
      </x:c>
      <x:c r="D149" s="29" t="n">
        <x:v>5</x:v>
      </x:c>
      <x:c r="E149" s="64" t="str">
        <x:v>P1</x:v>
      </x:c>
      <x:c r="F149" s="29" t="str">
        <x:v>The Part Nobody Sees</x:v>
      </x:c>
      <x:c r="G149" s="29" t="str">
        <x:v>You can change your life without announcing a new version of yourself.</x:v>
      </x:c>
      <x:c r="H149" s="29" t="str">
        <x:v>share</x:v>
      </x:c>
      <x:c r="I149" s="29" t="str">
        <x:v>editorial</x:v>
      </x:c>
      <x:c r="J149" s="36" t="str">
        <x:v>Draft</x:v>
      </x:c>
      <x:c r="K149" s="29" t="str">
        <x:v>Not autobiographical</x:v>
      </x:c>
    </x:row>
    <x:row r="150" ht="66" customHeight="1">
      <x:c r="A150" s="29" t="str">
        <x:v>BTB-149</x:v>
      </x:c>
      <x:c r="B150" s="62" t="n">
        <x:v>46471</x:v>
      </x:c>
      <x:c r="C150" s="64" t="n">
        <x:v>149</x:v>
      </x:c>
      <x:c r="D150" s="29" t="n">
        <x:v>5</x:v>
      </x:c>
      <x:c r="E150" s="64" t="str">
        <x:v>P2</x:v>
      </x:c>
      <x:c r="F150" s="29" t="str">
        <x:v>When the Day Gets Heavy</x:v>
      </x:c>
      <x:c r="G150" s="29" t="str">
        <x:v>An anniversary can be difficult even when you were not planning to remember it.</x:v>
      </x:c>
      <x:c r="H150" s="29" t="str">
        <x:v>save</x:v>
      </x:c>
      <x:c r="I150" s="29" t="str">
        <x:v>checklist</x:v>
      </x:c>
      <x:c r="J150" s="36" t="str">
        <x:v>Draft</x:v>
      </x:c>
      <x:c r="K150" s="29" t="str">
        <x:v>Not autobiographical</x:v>
      </x:c>
    </x:row>
    <x:row r="151" ht="66" customHeight="1">
      <x:c r="A151" s="29" t="str">
        <x:v>BTB-150</x:v>
      </x:c>
      <x:c r="B151" s="62" t="n">
        <x:v>46472</x:v>
      </x:c>
      <x:c r="C151" s="64" t="n">
        <x:v>150</x:v>
      </x:c>
      <x:c r="D151" s="29" t="n">
        <x:v>5</x:v>
      </x:c>
      <x:c r="E151" s="64" t="str">
        <x:v>P6</x:v>
      </x:c>
      <x:c r="F151" s="29" t="str">
        <x:v>Notes From the Rebuild</x:v>
      </x:c>
      <x:c r="G151" s="29" t="str">
        <x:v>Balanced does not mean nothing hurts.</x:v>
      </x:c>
      <x:c r="H151" s="29" t="str">
        <x:v>follow</x:v>
      </x:c>
      <x:c r="I151" s="29" t="str">
        <x:v>letter</x:v>
      </x:c>
      <x:c r="J151" s="36" t="str">
        <x:v>Draft</x:v>
      </x:c>
      <x:c r="K151" s="29" t="str">
        <x:v>Required</x:v>
      </x:c>
    </x:row>
    <x:row r="152" ht="66" customHeight="1">
      <x:c r="A152" s="29" t="str">
        <x:v>BTB-151</x:v>
      </x:c>
      <x:c r="B152" s="62" t="n">
        <x:v>46473</x:v>
      </x:c>
      <x:c r="C152" s="64" t="n">
        <x:v>151</x:v>
      </x:c>
      <x:c r="D152" s="29" t="n">
        <x:v>6</x:v>
      </x:c>
      <x:c r="E152" s="64" t="str">
        <x:v>P1</x:v>
      </x:c>
      <x:c r="F152" s="29" t="str">
        <x:v>The Part Nobody Sees</x:v>
      </x:c>
      <x:c r="G152" s="29" t="str">
        <x:v>Your life can grow while an important question is still unresolved.</x:v>
      </x:c>
      <x:c r="H152" s="29" t="str">
        <x:v>share</x:v>
      </x:c>
      <x:c r="I152" s="29" t="str">
        <x:v>editorial</x:v>
      </x:c>
      <x:c r="J152" s="36" t="str">
        <x:v>Draft</x:v>
      </x:c>
      <x:c r="K152" s="29" t="str">
        <x:v>Not autobiographical</x:v>
      </x:c>
    </x:row>
    <x:row r="153" ht="66" customHeight="1">
      <x:c r="A153" s="29" t="str">
        <x:v>BTB-152</x:v>
      </x:c>
      <x:c r="B153" s="62" t="n">
        <x:v>46474</x:v>
      </x:c>
      <x:c r="C153" s="64" t="n">
        <x:v>152</x:v>
      </x:c>
      <x:c r="D153" s="29" t="n">
        <x:v>6</x:v>
      </x:c>
      <x:c r="E153" s="64" t="str">
        <x:v>P2</x:v>
      </x:c>
      <x:c r="F153" s="29" t="str">
        <x:v>When the Day Gets Heavy</x:v>
      </x:c>
      <x:c r="G153" s="29" t="str">
        <x:v>The difficult email arrived. You do not have to become the email.</x:v>
      </x:c>
      <x:c r="H153" s="29" t="str">
        <x:v>save</x:v>
      </x:c>
      <x:c r="I153" s="29" t="str">
        <x:v>checklist</x:v>
      </x:c>
      <x:c r="J153" s="36" t="str">
        <x:v>Draft</x:v>
      </x:c>
      <x:c r="K153" s="29" t="str">
        <x:v>Not autobiographical</x:v>
      </x:c>
    </x:row>
    <x:row r="154" ht="66" customHeight="1">
      <x:c r="A154" s="29" t="str">
        <x:v>BTB-153</x:v>
      </x:c>
      <x:c r="B154" s="62" t="n">
        <x:v>46475</x:v>
      </x:c>
      <x:c r="C154" s="64" t="n">
        <x:v>153</x:v>
      </x:c>
      <x:c r="D154" s="29" t="n">
        <x:v>6</x:v>
      </x:c>
      <x:c r="E154" s="64" t="str">
        <x:v>P3</x:v>
      </x:c>
      <x:c r="F154" s="29" t="str">
        <x:v>Keep the Child Out of the Conflict</x:v>
      </x:c>
      <x:c r="G154" s="29" t="str">
        <x:v>Plan the hour after the handover—not only the handover.</x:v>
      </x:c>
      <x:c r="H154" s="29" t="str">
        <x:v>save</x:v>
      </x:c>
      <x:c r="I154" s="29" t="str">
        <x:v>checklist</x:v>
      </x:c>
      <x:c r="J154" s="36" t="str">
        <x:v>Draft</x:v>
      </x:c>
      <x:c r="K154" s="29" t="str">
        <x:v>Not autobiographical</x:v>
      </x:c>
    </x:row>
    <x:row r="155" ht="66" customHeight="1">
      <x:c r="A155" s="29" t="str">
        <x:v>BTB-154</x:v>
      </x:c>
      <x:c r="B155" s="62" t="n">
        <x:v>46476</x:v>
      </x:c>
      <x:c r="C155" s="64" t="n">
        <x:v>154</x:v>
      </x:c>
      <x:c r="D155" s="29" t="n">
        <x:v>6</x:v>
      </x:c>
      <x:c r="E155" s="64" t="str">
        <x:v>P4</x:v>
      </x:c>
      <x:c r="F155" s="29" t="str">
        <x:v>Trust, Without Losing Yourself</x:v>
      </x:c>
      <x:c r="G155" s="29" t="str">
        <x:v>Trusting yourself does not mean being certain every time.</x:v>
      </x:c>
      <x:c r="H155" s="29" t="str">
        <x:v>share</x:v>
      </x:c>
      <x:c r="I155" s="29" t="str">
        <x:v>contrast</x:v>
      </x:c>
      <x:c r="J155" s="36" t="str">
        <x:v>Draft</x:v>
      </x:c>
      <x:c r="K155" s="29" t="str">
        <x:v>Not autobiographical</x:v>
      </x:c>
    </x:row>
    <x:row r="156" ht="66" customHeight="1">
      <x:c r="A156" s="29" t="str">
        <x:v>BTB-155</x:v>
      </x:c>
      <x:c r="B156" s="62" t="n">
        <x:v>46477</x:v>
      </x:c>
      <x:c r="C156" s="64" t="n">
        <x:v>155</x:v>
      </x:c>
      <x:c r="D156" s="29" t="n">
        <x:v>6</x:v>
      </x:c>
      <x:c r="E156" s="64" t="str">
        <x:v>P5</x:v>
      </x:c>
      <x:c r="F156" s="29" t="str">
        <x:v>One Useful Next Step</x:v>
      </x:c>
      <x:c r="G156" s="29" t="str">
        <x:v>Review the week without putting yourself on trial.</x:v>
      </x:c>
      <x:c r="H156" s="29" t="str">
        <x:v>save</x:v>
      </x:c>
      <x:c r="I156" s="29" t="str">
        <x:v>checklist</x:v>
      </x:c>
      <x:c r="J156" s="36" t="str">
        <x:v>Draft</x:v>
      </x:c>
      <x:c r="K156" s="29" t="str">
        <x:v>Not autobiographical</x:v>
      </x:c>
    </x:row>
    <x:row r="157" ht="66" customHeight="1">
      <x:c r="A157" s="29" t="str">
        <x:v>BTB-156</x:v>
      </x:c>
      <x:c r="B157" s="62" t="n">
        <x:v>46478</x:v>
      </x:c>
      <x:c r="C157" s="64" t="n">
        <x:v>156</x:v>
      </x:c>
      <x:c r="D157" s="29" t="n">
        <x:v>6</x:v>
      </x:c>
      <x:c r="E157" s="64" t="str">
        <x:v>P1</x:v>
      </x:c>
      <x:c r="F157" s="29" t="str">
        <x:v>The Part Nobody Sees</x:v>
      </x:c>
      <x:c r="G157" s="29" t="str">
        <x:v>You can begin a small next chapter before you feel completely ready.</x:v>
      </x:c>
      <x:c r="H157" s="29" t="str">
        <x:v>share</x:v>
      </x:c>
      <x:c r="I157" s="29" t="str">
        <x:v>editorial</x:v>
      </x:c>
      <x:c r="J157" s="36" t="str">
        <x:v>Draft</x:v>
      </x:c>
      <x:c r="K157" s="29" t="str">
        <x:v>Not autobiographical</x:v>
      </x:c>
    </x:row>
    <x:row r="158" ht="66" customHeight="1">
      <x:c r="A158" s="29" t="str">
        <x:v>BTB-157</x:v>
      </x:c>
      <x:c r="B158" s="62" t="n">
        <x:v>46479</x:v>
      </x:c>
      <x:c r="C158" s="64" t="n">
        <x:v>157</x:v>
      </x:c>
      <x:c r="D158" s="29" t="n">
        <x:v>6</x:v>
      </x:c>
      <x:c r="E158" s="64" t="str">
        <x:v>P2</x:v>
      </x:c>
      <x:c r="F158" s="29" t="str">
        <x:v>When the Day Gets Heavy</x:v>
      </x:c>
      <x:c r="G158" s="29" t="str">
        <x:v>Being capable does not mean every load is reasonable.</x:v>
      </x:c>
      <x:c r="H158" s="29" t="str">
        <x:v>save</x:v>
      </x:c>
      <x:c r="I158" s="29" t="str">
        <x:v>contrast</x:v>
      </x:c>
      <x:c r="J158" s="36" t="str">
        <x:v>Draft</x:v>
      </x:c>
      <x:c r="K158" s="29" t="str">
        <x:v>Not autobiographical</x:v>
      </x:c>
    </x:row>
    <x:row r="159" ht="66" customHeight="1">
      <x:c r="A159" s="29" t="str">
        <x:v>BTB-158</x:v>
      </x:c>
      <x:c r="B159" s="62" t="n">
        <x:v>46480</x:v>
      </x:c>
      <x:c r="C159" s="64" t="n">
        <x:v>158</x:v>
      </x:c>
      <x:c r="D159" s="29" t="n">
        <x:v>6</x:v>
      </x:c>
      <x:c r="E159" s="64" t="str">
        <x:v>P5</x:v>
      </x:c>
      <x:c r="F159" s="29" t="str">
        <x:v>One Useful Next Step</x:v>
      </x:c>
      <x:c r="G159" s="29" t="str">
        <x:v>Leave tomorrow an instruction, not a pile of unfinished thoughts.</x:v>
      </x:c>
      <x:c r="H159" s="29" t="str">
        <x:v>save</x:v>
      </x:c>
      <x:c r="I159" s="29" t="str">
        <x:v>checklist</x:v>
      </x:c>
      <x:c r="J159" s="36" t="str">
        <x:v>Draft</x:v>
      </x:c>
      <x:c r="K159" s="29" t="str">
        <x:v>Not autobiographical</x:v>
      </x:c>
    </x:row>
    <x:row r="160" ht="66" customHeight="1">
      <x:c r="A160" s="29" t="str">
        <x:v>BTB-159</x:v>
      </x:c>
      <x:c r="B160" s="62" t="n">
        <x:v>46481</x:v>
      </x:c>
      <x:c r="C160" s="64" t="n">
        <x:v>159</x:v>
      </x:c>
      <x:c r="D160" s="29" t="n">
        <x:v>6</x:v>
      </x:c>
      <x:c r="E160" s="64" t="str">
        <x:v>P3</x:v>
      </x:c>
      <x:c r="F160" s="29" t="str">
        <x:v>Keep the Child Out of the Conflict</x:v>
      </x:c>
      <x:c r="G160" s="29" t="str">
        <x:v>Your child does not need to hear that you “did everything for them.”</x:v>
      </x:c>
      <x:c r="H160" s="29" t="str">
        <x:v>share</x:v>
      </x:c>
      <x:c r="I160" s="29" t="str">
        <x:v>editorial</x:v>
      </x:c>
      <x:c r="J160" s="36" t="str">
        <x:v>Draft</x:v>
      </x:c>
      <x:c r="K160" s="29" t="str">
        <x:v>Not autobiographical</x:v>
      </x:c>
    </x:row>
    <x:row r="161" ht="66" customHeight="1">
      <x:c r="A161" s="29" t="str">
        <x:v>BTB-160</x:v>
      </x:c>
      <x:c r="B161" s="62" t="n">
        <x:v>46482</x:v>
      </x:c>
      <x:c r="C161" s="64" t="n">
        <x:v>160</x:v>
      </x:c>
      <x:c r="D161" s="29" t="n">
        <x:v>6</x:v>
      </x:c>
      <x:c r="E161" s="64" t="str">
        <x:v>P4</x:v>
      </x:c>
      <x:c r="F161" s="29" t="str">
        <x:v>Trust, Without Losing Yourself</x:v>
      </x:c>
      <x:c r="G161" s="29" t="str">
        <x:v>Ask whether the relationship fits your real life, not only your free evening.</x:v>
      </x:c>
      <x:c r="H161" s="29" t="str">
        <x:v>save</x:v>
      </x:c>
      <x:c r="I161" s="29" t="str">
        <x:v>checklist</x:v>
      </x:c>
      <x:c r="J161" s="36" t="str">
        <x:v>Draft</x:v>
      </x:c>
      <x:c r="K161" s="29" t="str">
        <x:v>Not autobiographical</x:v>
      </x:c>
    </x:row>
    <x:row r="162" ht="66" customHeight="1">
      <x:c r="A162" s="29" t="str">
        <x:v>BTB-161</x:v>
      </x:c>
      <x:c r="B162" s="62" t="n">
        <x:v>46483</x:v>
      </x:c>
      <x:c r="C162" s="64" t="n">
        <x:v>161</x:v>
      </x:c>
      <x:c r="D162" s="29" t="n">
        <x:v>6</x:v>
      </x:c>
      <x:c r="E162" s="64" t="str">
        <x:v>P1</x:v>
      </x:c>
      <x:c r="F162" s="29" t="str">
        <x:v>The Part Nobody Sees</x:v>
      </x:c>
      <x:c r="G162" s="29" t="str">
        <x:v>You can be grateful for what remains and honest about what you lost.</x:v>
      </x:c>
      <x:c r="H162" s="29" t="str">
        <x:v>share</x:v>
      </x:c>
      <x:c r="I162" s="29" t="str">
        <x:v>contrast</x:v>
      </x:c>
      <x:c r="J162" s="36" t="str">
        <x:v>Draft</x:v>
      </x:c>
      <x:c r="K162" s="29" t="str">
        <x:v>Not autobiographical</x:v>
      </x:c>
    </x:row>
    <x:row r="163" ht="66" customHeight="1">
      <x:c r="A163" s="29" t="str">
        <x:v>BTB-162</x:v>
      </x:c>
      <x:c r="B163" s="62" t="n">
        <x:v>46484</x:v>
      </x:c>
      <x:c r="C163" s="64" t="n">
        <x:v>162</x:v>
      </x:c>
      <x:c r="D163" s="29" t="n">
        <x:v>6</x:v>
      </x:c>
      <x:c r="E163" s="64" t="str">
        <x:v>P2</x:v>
      </x:c>
      <x:c r="F163" s="29" t="str">
        <x:v>When the Day Gets Heavy</x:v>
      </x:c>
      <x:c r="G163" s="29" t="str">
        <x:v>“You're so strong” can be kind—and still leave you needing help.</x:v>
      </x:c>
      <x:c r="H163" s="29" t="str">
        <x:v>save</x:v>
      </x:c>
      <x:c r="I163" s="29" t="str">
        <x:v>script</x:v>
      </x:c>
      <x:c r="J163" s="36" t="str">
        <x:v>Draft</x:v>
      </x:c>
      <x:c r="K163" s="29" t="str">
        <x:v>Not autobiographical</x:v>
      </x:c>
    </x:row>
    <x:row r="164" ht="66" customHeight="1">
      <x:c r="A164" s="29" t="str">
        <x:v>BTB-163</x:v>
      </x:c>
      <x:c r="B164" s="62" t="n">
        <x:v>46485</x:v>
      </x:c>
      <x:c r="C164" s="64" t="n">
        <x:v>163</x:v>
      </x:c>
      <x:c r="D164" s="29" t="n">
        <x:v>6</x:v>
      </x:c>
      <x:c r="E164" s="64" t="str">
        <x:v>P5</x:v>
      </x:c>
      <x:c r="F164" s="29" t="str">
        <x:v>One Useful Next Step</x:v>
      </x:c>
      <x:c r="G164" s="29" t="str">
        <x:v>Before paying for a solution, make sure you can describe the problem.</x:v>
      </x:c>
      <x:c r="H164" s="29" t="str">
        <x:v>save</x:v>
      </x:c>
      <x:c r="I164" s="29" t="str">
        <x:v>checklist</x:v>
      </x:c>
      <x:c r="J164" s="36" t="str">
        <x:v>Draft</x:v>
      </x:c>
      <x:c r="K164" s="29" t="str">
        <x:v>Not autobiographical</x:v>
      </x:c>
    </x:row>
    <x:row r="165" ht="66" customHeight="1">
      <x:c r="A165" s="29" t="str">
        <x:v>BTB-164</x:v>
      </x:c>
      <x:c r="B165" s="62" t="n">
        <x:v>46486</x:v>
      </x:c>
      <x:c r="C165" s="64" t="n">
        <x:v>164</x:v>
      </x:c>
      <x:c r="D165" s="29" t="n">
        <x:v>6</x:v>
      </x:c>
      <x:c r="E165" s="64" t="str">
        <x:v>P6</x:v>
      </x:c>
      <x:c r="F165" s="29" t="str">
        <x:v>Notes From the Rebuild</x:v>
      </x:c>
      <x:c r="G165" s="29" t="str">
        <x:v>This page is not selling a deadline for your recovery.</x:v>
      </x:c>
      <x:c r="H165" s="29" t="str">
        <x:v>follow</x:v>
      </x:c>
      <x:c r="I165" s="29" t="str">
        <x:v>letter</x:v>
      </x:c>
      <x:c r="J165" s="36" t="str">
        <x:v>Draft</x:v>
      </x:c>
      <x:c r="K165" s="29" t="str">
        <x:v>Required</x:v>
      </x:c>
    </x:row>
    <x:row r="166" ht="66" customHeight="1">
      <x:c r="A166" s="29" t="str">
        <x:v>BTB-165</x:v>
      </x:c>
      <x:c r="B166" s="62" t="n">
        <x:v>46487</x:v>
      </x:c>
      <x:c r="C166" s="64" t="n">
        <x:v>165</x:v>
      </x:c>
      <x:c r="D166" s="29" t="n">
        <x:v>6</x:v>
      </x:c>
      <x:c r="E166" s="64" t="str">
        <x:v>P3</x:v>
      </x:c>
      <x:c r="F166" s="29" t="str">
        <x:v>Keep the Child Out of the Conflict</x:v>
      </x:c>
      <x:c r="G166" s="29" t="str">
        <x:v>You can protect your child's privacy when other adults ask questions.</x:v>
      </x:c>
      <x:c r="H166" s="29" t="str">
        <x:v>save</x:v>
      </x:c>
      <x:c r="I166" s="29" t="str">
        <x:v>script</x:v>
      </x:c>
      <x:c r="J166" s="36" t="str">
        <x:v>Draft</x:v>
      </x:c>
      <x:c r="K166" s="29" t="str">
        <x:v>Not autobiographical</x:v>
      </x:c>
    </x:row>
    <x:row r="167" ht="66" customHeight="1">
      <x:c r="A167" s="29" t="str">
        <x:v>BTB-166</x:v>
      </x:c>
      <x:c r="B167" s="62" t="n">
        <x:v>46488</x:v>
      </x:c>
      <x:c r="C167" s="64" t="n">
        <x:v>166</x:v>
      </x:c>
      <x:c r="D167" s="29" t="n">
        <x:v>6</x:v>
      </x:c>
      <x:c r="E167" s="64" t="str">
        <x:v>P4</x:v>
      </x:c>
      <x:c r="F167" s="29" t="str">
        <x:v>Trust, Without Losing Yourself</x:v>
      </x:c>
      <x:c r="G167" s="29" t="str">
        <x:v>You can revise a boundary when you understand your needs more clearly.</x:v>
      </x:c>
      <x:c r="H167" s="29" t="str">
        <x:v>save</x:v>
      </x:c>
      <x:c r="I167" s="29" t="str">
        <x:v>script</x:v>
      </x:c>
      <x:c r="J167" s="36" t="str">
        <x:v>Draft</x:v>
      </x:c>
      <x:c r="K167" s="29" t="str">
        <x:v>Not autobiographical</x:v>
      </x:c>
    </x:row>
    <x:row r="168" ht="66" customHeight="1">
      <x:c r="A168" s="29" t="str">
        <x:v>BTB-167</x:v>
      </x:c>
      <x:c r="B168" s="62" t="n">
        <x:v>46489</x:v>
      </x:c>
      <x:c r="C168" s="64" t="n">
        <x:v>167</x:v>
      </x:c>
      <x:c r="D168" s="29" t="n">
        <x:v>6</x:v>
      </x:c>
      <x:c r="E168" s="64" t="str">
        <x:v>P5</x:v>
      </x:c>
      <x:c r="F168" s="29" t="str">
        <x:v>One Useful Next Step</x:v>
      </x:c>
      <x:c r="G168" s="29" t="str">
        <x:v>When the answer is uncertain, prepare two workable next steps.</x:v>
      </x:c>
      <x:c r="H168" s="29" t="str">
        <x:v>save</x:v>
      </x:c>
      <x:c r="I168" s="29" t="str">
        <x:v>checklist</x:v>
      </x:c>
      <x:c r="J168" s="36" t="str">
        <x:v>Draft</x:v>
      </x:c>
      <x:c r="K168" s="29" t="str">
        <x:v>Not autobiographical</x:v>
      </x:c>
    </x:row>
    <x:row r="169" ht="66" customHeight="1">
      <x:c r="A169" s="29" t="str">
        <x:v>BTB-168</x:v>
      </x:c>
      <x:c r="B169" s="62" t="n">
        <x:v>46490</x:v>
      </x:c>
      <x:c r="C169" s="64" t="n">
        <x:v>168</x:v>
      </x:c>
      <x:c r="D169" s="29" t="n">
        <x:v>6</x:v>
      </x:c>
      <x:c r="E169" s="64" t="str">
        <x:v>P1</x:v>
      </x:c>
      <x:c r="F169" s="29" t="str">
        <x:v>The Part Nobody Sees</x:v>
      </x:c>
      <x:c r="G169" s="29" t="str">
        <x:v>You do not have to keep introducing yourself as the person who was hurt.</x:v>
      </x:c>
      <x:c r="H169" s="29" t="str">
        <x:v>share</x:v>
      </x:c>
      <x:c r="I169" s="29" t="str">
        <x:v>editorial</x:v>
      </x:c>
      <x:c r="J169" s="36" t="str">
        <x:v>Draft</x:v>
      </x:c>
      <x:c r="K169" s="29" t="str">
        <x:v>Not autobiographical</x:v>
      </x:c>
    </x:row>
    <x:row r="170" ht="66" customHeight="1">
      <x:c r="A170" s="29" t="str">
        <x:v>BTB-169</x:v>
      </x:c>
      <x:c r="B170" s="62" t="n">
        <x:v>46491</x:v>
      </x:c>
      <x:c r="C170" s="64" t="n">
        <x:v>169</x:v>
      </x:c>
      <x:c r="D170" s="29" t="n">
        <x:v>6</x:v>
      </x:c>
      <x:c r="E170" s="64" t="str">
        <x:v>P2</x:v>
      </x:c>
      <x:c r="F170" s="29" t="str">
        <x:v>When the Day Gets Heavy</x:v>
      </x:c>
      <x:c r="G170" s="29" t="str">
        <x:v>A good day does not need a warning label.</x:v>
      </x:c>
      <x:c r="H170" s="29" t="str">
        <x:v>share</x:v>
      </x:c>
      <x:c r="I170" s="29" t="str">
        <x:v>editorial</x:v>
      </x:c>
      <x:c r="J170" s="36" t="str">
        <x:v>Draft</x:v>
      </x:c>
      <x:c r="K170" s="29" t="str">
        <x:v>Not autobiographical</x:v>
      </x:c>
    </x:row>
    <x:row r="171" ht="66" customHeight="1">
      <x:c r="A171" s="29" t="str">
        <x:v>BTB-170</x:v>
      </x:c>
      <x:c r="B171" s="62" t="n">
        <x:v>46492</x:v>
      </x:c>
      <x:c r="C171" s="64" t="n">
        <x:v>170</x:v>
      </x:c>
      <x:c r="D171" s="29" t="n">
        <x:v>6</x:v>
      </x:c>
      <x:c r="E171" s="64" t="str">
        <x:v>P3</x:v>
      </x:c>
      <x:c r="F171" s="29" t="str">
        <x:v>Keep the Child Out of the Conflict</x:v>
      </x:c>
      <x:c r="G171" s="29" t="str">
        <x:v>Being the adult does not mean having every answer.</x:v>
      </x:c>
      <x:c r="H171" s="29" t="str">
        <x:v>save</x:v>
      </x:c>
      <x:c r="I171" s="29" t="str">
        <x:v>contrast</x:v>
      </x:c>
      <x:c r="J171" s="36" t="str">
        <x:v>Draft</x:v>
      </x:c>
      <x:c r="K171" s="29" t="str">
        <x:v>Not autobiographical</x:v>
      </x:c>
    </x:row>
    <x:row r="172" ht="66" customHeight="1">
      <x:c r="A172" s="29" t="str">
        <x:v>BTB-171</x:v>
      </x:c>
      <x:c r="B172" s="62" t="n">
        <x:v>46493</x:v>
      </x:c>
      <x:c r="C172" s="64" t="n">
        <x:v>171</x:v>
      </x:c>
      <x:c r="D172" s="29" t="n">
        <x:v>6</x:v>
      </x:c>
      <x:c r="E172" s="64" t="str">
        <x:v>P4</x:v>
      </x:c>
      <x:c r="F172" s="29" t="str">
        <x:v>Trust, Without Losing Yourself</x:v>
      </x:c>
      <x:c r="G172" s="29" t="str">
        <x:v>A relationship can support your life without becoming the whole structure holding it up.</x:v>
      </x:c>
      <x:c r="H172" s="29" t="str">
        <x:v>share</x:v>
      </x:c>
      <x:c r="I172" s="29" t="str">
        <x:v>contrast</x:v>
      </x:c>
      <x:c r="J172" s="36" t="str">
        <x:v>Draft</x:v>
      </x:c>
      <x:c r="K172" s="29" t="str">
        <x:v>Not autobiographical</x:v>
      </x:c>
    </x:row>
    <x:row r="173" ht="66" customHeight="1">
      <x:c r="A173" s="29" t="str">
        <x:v>BTB-172</x:v>
      </x:c>
      <x:c r="B173" s="62" t="n">
        <x:v>46494</x:v>
      </x:c>
      <x:c r="C173" s="64" t="n">
        <x:v>172</x:v>
      </x:c>
      <x:c r="D173" s="29" t="n">
        <x:v>6</x:v>
      </x:c>
      <x:c r="E173" s="64" t="str">
        <x:v>P5</x:v>
      </x:c>
      <x:c r="F173" s="29" t="str">
        <x:v>One Useful Next Step</x:v>
      </x:c>
      <x:c r="G173" s="29" t="str">
        <x:v>Check whether the old goal still belongs to the life you want now.</x:v>
      </x:c>
      <x:c r="H173" s="29" t="str">
        <x:v>save</x:v>
      </x:c>
      <x:c r="I173" s="29" t="str">
        <x:v>checklist</x:v>
      </x:c>
      <x:c r="J173" s="36" t="str">
        <x:v>Draft</x:v>
      </x:c>
      <x:c r="K173" s="29" t="str">
        <x:v>Not autobiographical</x:v>
      </x:c>
    </x:row>
    <x:row r="174" ht="66" customHeight="1">
      <x:c r="A174" s="29" t="str">
        <x:v>BTB-173</x:v>
      </x:c>
      <x:c r="B174" s="62" t="n">
        <x:v>46495</x:v>
      </x:c>
      <x:c r="C174" s="64" t="n">
        <x:v>173</x:v>
      </x:c>
      <x:c r="D174" s="29" t="n">
        <x:v>6</x:v>
      </x:c>
      <x:c r="E174" s="64" t="str">
        <x:v>P1</x:v>
      </x:c>
      <x:c r="F174" s="29" t="str">
        <x:v>The Part Nobody Sees</x:v>
      </x:c>
      <x:c r="G174" s="29" t="str">
        <x:v>You can be building well and still have an unfinished problem.</x:v>
      </x:c>
      <x:c r="H174" s="29" t="str">
        <x:v>share</x:v>
      </x:c>
      <x:c r="I174" s="29" t="str">
        <x:v>editorial</x:v>
      </x:c>
      <x:c r="J174" s="36" t="str">
        <x:v>Draft</x:v>
      </x:c>
      <x:c r="K174" s="29" t="str">
        <x:v>Not autobiographical</x:v>
      </x:c>
    </x:row>
    <x:row r="175" ht="66" customHeight="1">
      <x:c r="A175" s="29" t="str">
        <x:v>BTB-174</x:v>
      </x:c>
      <x:c r="B175" s="62" t="n">
        <x:v>46496</x:v>
      </x:c>
      <x:c r="C175" s="64" t="n">
        <x:v>174</x:v>
      </x:c>
      <x:c r="D175" s="29" t="n">
        <x:v>6</x:v>
      </x:c>
      <x:c r="E175" s="64" t="str">
        <x:v>P2</x:v>
      </x:c>
      <x:c r="F175" s="29" t="str">
        <x:v>When the Day Gets Heavy</x:v>
      </x:c>
      <x:c r="G175" s="29" t="str">
        <x:v>Ask whether you are thinking toward a decision or circling the same question.</x:v>
      </x:c>
      <x:c r="H175" s="29" t="str">
        <x:v>save</x:v>
      </x:c>
      <x:c r="I175" s="29" t="str">
        <x:v>checklist</x:v>
      </x:c>
      <x:c r="J175" s="36" t="str">
        <x:v>Draft</x:v>
      </x:c>
      <x:c r="K175" s="29" t="str">
        <x:v>Not autobiographical</x:v>
      </x:c>
    </x:row>
    <x:row r="176" ht="66" customHeight="1">
      <x:c r="A176" s="29" t="str">
        <x:v>BTB-175</x:v>
      </x:c>
      <x:c r="B176" s="62" t="n">
        <x:v>46497</x:v>
      </x:c>
      <x:c r="C176" s="64" t="n">
        <x:v>175</x:v>
      </x:c>
      <x:c r="D176" s="29" t="n">
        <x:v>6</x:v>
      </x:c>
      <x:c r="E176" s="64" t="str">
        <x:v>P3</x:v>
      </x:c>
      <x:c r="F176" s="29" t="str">
        <x:v>Keep the Child Out of the Conflict</x:v>
      </x:c>
      <x:c r="G176" s="29" t="str">
        <x:v>When another adult criticises the other parent in front of your child, interrupt the topic.</x:v>
      </x:c>
      <x:c r="H176" s="29" t="str">
        <x:v>save</x:v>
      </x:c>
      <x:c r="I176" s="29" t="str">
        <x:v>script</x:v>
      </x:c>
      <x:c r="J176" s="36" t="str">
        <x:v>Draft</x:v>
      </x:c>
      <x:c r="K176" s="29" t="str">
        <x:v>Not autobiographical</x:v>
      </x:c>
    </x:row>
    <x:row r="177" ht="66" customHeight="1">
      <x:c r="A177" s="29" t="str">
        <x:v>BTB-176</x:v>
      </x:c>
      <x:c r="B177" s="62" t="n">
        <x:v>46498</x:v>
      </x:c>
      <x:c r="C177" s="64" t="n">
        <x:v>176</x:v>
      </x:c>
      <x:c r="D177" s="29" t="n">
        <x:v>6</x:v>
      </x:c>
      <x:c r="E177" s="64" t="str">
        <x:v>P4</x:v>
      </x:c>
      <x:c r="F177" s="29" t="str">
        <x:v>Trust, Without Losing Yourself</x:v>
      </x:c>
      <x:c r="G177" s="29" t="str">
        <x:v>A healthier choice may feel unfamiliar before it feels natural.</x:v>
      </x:c>
      <x:c r="H177" s="29" t="str">
        <x:v>share</x:v>
      </x:c>
      <x:c r="I177" s="29" t="str">
        <x:v>editorial</x:v>
      </x:c>
      <x:c r="J177" s="36" t="str">
        <x:v>Draft</x:v>
      </x:c>
      <x:c r="K177" s="29" t="str">
        <x:v>Not autobiographical</x:v>
      </x:c>
    </x:row>
    <x:row r="178" ht="66" customHeight="1">
      <x:c r="A178" s="29" t="str">
        <x:v>BTB-177</x:v>
      </x:c>
      <x:c r="B178" s="62" t="n">
        <x:v>46499</x:v>
      </x:c>
      <x:c r="C178" s="64" t="n">
        <x:v>177</x:v>
      </x:c>
      <x:c r="D178" s="29" t="n">
        <x:v>6</x:v>
      </x:c>
      <x:c r="E178" s="64" t="str">
        <x:v>P5</x:v>
      </x:c>
      <x:c r="F178" s="29" t="str">
        <x:v>One Useful Next Step</x:v>
      </x:c>
      <x:c r="G178" s="29" t="str">
        <x:v>Measure the rebuild by what matters—not only what looks impressive.</x:v>
      </x:c>
      <x:c r="H178" s="29" t="str">
        <x:v>save</x:v>
      </x:c>
      <x:c r="I178" s="29" t="str">
        <x:v>checklist</x:v>
      </x:c>
      <x:c r="J178" s="36" t="str">
        <x:v>Draft</x:v>
      </x:c>
      <x:c r="K178" s="29" t="str">
        <x:v>Not autobiographical</x:v>
      </x:c>
    </x:row>
    <x:row r="179" ht="66" customHeight="1">
      <x:c r="A179" s="29" t="str">
        <x:v>BTB-178</x:v>
      </x:c>
      <x:c r="B179" s="62" t="n">
        <x:v>46500</x:v>
      </x:c>
      <x:c r="C179" s="64" t="n">
        <x:v>178</x:v>
      </x:c>
      <x:c r="D179" s="29" t="n">
        <x:v>6</x:v>
      </x:c>
      <x:c r="E179" s="64" t="str">
        <x:v>P1</x:v>
      </x:c>
      <x:c r="F179" s="29" t="str">
        <x:v>The Part Nobody Sees</x:v>
      </x:c>
      <x:c r="G179" s="29" t="str">
        <x:v>Missing the past today does not erase the life you are building now.</x:v>
      </x:c>
      <x:c r="H179" s="29" t="str">
        <x:v>share</x:v>
      </x:c>
      <x:c r="I179" s="29" t="str">
        <x:v>contrast</x:v>
      </x:c>
      <x:c r="J179" s="36" t="str">
        <x:v>Draft</x:v>
      </x:c>
      <x:c r="K179" s="29" t="str">
        <x:v>Not autobiographical</x:v>
      </x:c>
    </x:row>
    <x:row r="180" ht="66" customHeight="1">
      <x:c r="A180" s="29" t="str">
        <x:v>BTB-179</x:v>
      </x:c>
      <x:c r="B180" s="62" t="n">
        <x:v>46501</x:v>
      </x:c>
      <x:c r="C180" s="64" t="n">
        <x:v>179</x:v>
      </x:c>
      <x:c r="D180" s="29" t="n">
        <x:v>6</x:v>
      </x:c>
      <x:c r="E180" s="64" t="str">
        <x:v>P2</x:v>
      </x:c>
      <x:c r="F180" s="29" t="str">
        <x:v>When the Day Gets Heavy</x:v>
      </x:c>
      <x:c r="G180" s="29" t="str">
        <x:v>You can support someone without promising to be available for everything.</x:v>
      </x:c>
      <x:c r="H180" s="29" t="str">
        <x:v>save</x:v>
      </x:c>
      <x:c r="I180" s="29" t="str">
        <x:v>script</x:v>
      </x:c>
      <x:c r="J180" s="36" t="str">
        <x:v>Draft</x:v>
      </x:c>
      <x:c r="K180" s="29" t="str">
        <x:v>Not autobiographical</x:v>
      </x:c>
    </x:row>
    <x:row r="181" ht="66" customHeight="1">
      <x:c r="A181" s="29" t="str">
        <x:v>BTB-180</x:v>
      </x:c>
      <x:c r="B181" s="62" t="n">
        <x:v>46502</x:v>
      </x:c>
      <x:c r="C181" s="64" t="n">
        <x:v>180</x:v>
      </x:c>
      <x:c r="D181" s="29" t="n">
        <x:v>6</x:v>
      </x:c>
      <x:c r="E181" s="64" t="str">
        <x:v>P6</x:v>
      </x:c>
      <x:c r="F181" s="29" t="str">
        <x:v>Notes From the Rebuild</x:v>
      </x:c>
      <x:c r="G181" s="29" t="str">
        <x:v>The point was never to stay identified with the broken part.</x:v>
      </x:c>
      <x:c r="H181" s="29" t="str">
        <x:v>follow</x:v>
      </x:c>
      <x:c r="I181" s="29" t="str">
        <x:v>letter</x:v>
      </x:c>
      <x:c r="J181" s="36" t="str">
        <x:v>Draft</x:v>
      </x:c>
      <x:c r="K181" s="29" t="str">
        <x:v>Required</x:v>
      </x:c>
    </x:row>
  </x:sheetData>
  <x:dataValidations count="1">
    <x:dataValidation type="list" sqref="J2:J181">
      <x:formula1>"Draft,Owner approved,Revise,Hold"</x:formula1>
    </x:dataValidation>
  </x:dataValidations>
  <x:pageMargins left="0.7" right="0.7" top="0.75" bottom="0.75" header="0.3" footer="0.3"/>
  <x:tableParts count="1">
    <x:tablePart xmlns:r="http://schemas.openxmlformats.org/officeDocument/2006/relationships" r:id="Reef52472e0a942d9"/>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5" hidden="0" customWidth="1"/>
    <x:col min="3" max="3" width="8" hidden="0" customWidth="1"/>
    <x:col min="4" max="4" width="8" hidden="0" customWidth="1"/>
    <x:col min="5" max="5" width="54" hidden="0" customWidth="1"/>
    <x:col min="6" max="6" width="58" hidden="0" customWidth="1"/>
    <x:col min="7" max="7" width="14" hidden="0" customWidth="1"/>
    <x:col min="8" max="8" width="24" hidden="0" customWidth="1"/>
  </x:cols>
  <x:sheetData>
    <x:row r="1" ht="36" customHeight="1">
      <x:c r="A1" s="9" t="str">
        <x:v>ID</x:v>
      </x:c>
      <x:c r="B1" s="9" t="str">
        <x:v>Editorial date</x:v>
      </x:c>
      <x:c r="C1" s="9" t="str">
        <x:v>Pillar</x:v>
      </x:c>
      <x:c r="D1" s="9" t="str">
        <x:v>Slide</x:v>
      </x:c>
      <x:c r="E1" s="9" t="str">
        <x:v>Exact slide copy</x:v>
      </x:c>
      <x:c r="F1" s="9" t="str">
        <x:v>Exact accessibility text</x:v>
      </x:c>
      <x:c r="G1" s="9" t="str">
        <x:v>Layout</x:v>
      </x:c>
      <x:c r="H1" s="9" t="str">
        <x:v>Review status</x:v>
      </x:c>
    </x:row>
    <x:row r="2" ht="84" customHeight="1">
      <x:c r="A2" s="29" t="str">
        <x:v>BTB-001</x:v>
      </x:c>
      <x:c r="B2" s="62" t="n">
        <x:v>46323</x:v>
      </x:c>
      <x:c r="C2" s="64" t="str">
        <x:v>P1</x:v>
      </x:c>
      <x:c r="D2" s="64" t="n">
        <x:v>1</x:v>
      </x:c>
      <x:c r="E2" s="29" t="str">
        <x:v>The relationship ended. Your responsibilities didn't.</x:v>
      </x:c>
      <x:c r="F2" s="29" t="str">
        <x:v>Slide 1 of 6. The relationship ended. Your responsibilities didn't.</x:v>
      </x:c>
      <x:c r="G2" s="29" t="str">
        <x:v>editorial</x:v>
      </x:c>
      <x:c r="H2" s="29" t="str">
        <x:v>Draft — owner review</x:v>
      </x:c>
    </x:row>
    <x:row r="3" ht="84" customHeight="1">
      <x:c r="A3" s="29" t="str">
        <x:v>BTB-001</x:v>
      </x:c>
      <x:c r="B3" s="62" t="n">
        <x:v>46323</x:v>
      </x:c>
      <x:c r="C3" s="64" t="str">
        <x:v>P1</x:v>
      </x:c>
      <x:c r="D3" s="64" t="n">
        <x:v>2</x:v>
      </x:c>
      <x:c r="E3" s="29" t="str">
        <x:v>You can be grieving and still have lunches to pack, work to finish, and bills to open.</x:v>
      </x:c>
      <x:c r="F3" s="29" t="str">
        <x:v>Slide 2 of 6. You can be grieving and still have lunches to pack, work to finish, and bills to open.</x:v>
      </x:c>
      <x:c r="G3" s="29" t="str">
        <x:v>editorial</x:v>
      </x:c>
      <x:c r="H3" s="29" t="str">
        <x:v>Draft — owner review</x:v>
      </x:c>
    </x:row>
    <x:row r="4" ht="84" customHeight="1">
      <x:c r="A4" s="29" t="str">
        <x:v>BTB-001</x:v>
      </x:c>
      <x:c r="B4" s="62" t="n">
        <x:v>46323</x:v>
      </x:c>
      <x:c r="C4" s="64" t="str">
        <x:v>P1</x:v>
      </x:c>
      <x:c r="D4" s="64" t="n">
        <x:v>3</x:v>
      </x:c>
      <x:c r="E4" s="29" t="str">
        <x:v>Looking functional does not mean the change has been easy. It means life has kept asking things of you.</x:v>
      </x:c>
      <x:c r="F4" s="29" t="str">
        <x:v>Slide 3 of 6. Looking functional does not mean the change has been easy. It means life has kept asking things of you.</x:v>
      </x:c>
      <x:c r="G4" s="29" t="str">
        <x:v>editorial</x:v>
      </x:c>
      <x:c r="H4" s="29" t="str">
        <x:v>Draft — owner review</x:v>
      </x:c>
    </x:row>
    <x:row r="5" ht="84" customHeight="1">
      <x:c r="A5" s="29" t="str">
        <x:v>BTB-001</x:v>
      </x:c>
      <x:c r="B5" s="62" t="n">
        <x:v>46323</x:v>
      </x:c>
      <x:c r="C5" s="64" t="str">
        <x:v>P1</x:v>
      </x:c>
      <x:c r="D5" s="64" t="n">
        <x:v>4</x:v>
      </x:c>
      <x:c r="E5" s="29" t="str">
        <x:v>For today, separate what must happen from what can wait. A difficult season does not make every task urgent.</x:v>
      </x:c>
      <x:c r="F5" s="29" t="str">
        <x:v>Slide 4 of 6. For today, separate what must happen from what can wait. A difficult season does not make every task urgent.</x:v>
      </x:c>
      <x:c r="G5" s="29" t="str">
        <x:v>editorial</x:v>
      </x:c>
      <x:c r="H5" s="29" t="str">
        <x:v>Draft — owner review</x:v>
      </x:c>
    </x:row>
    <x:row r="6" ht="84" customHeight="1">
      <x:c r="A6" s="29" t="str">
        <x:v>BTB-001</x:v>
      </x:c>
      <x:c r="B6" s="62" t="n">
        <x:v>46323</x:v>
      </x:c>
      <x:c r="C6" s="64" t="str">
        <x:v>P1</x:v>
      </x:c>
      <x:c r="D6" s="64" t="n">
        <x:v>5</x:v>
      </x:c>
      <x:c r="E6" s="29" t="str">
        <x:v>Choose one essential responsibility. Choose one person you can speak honestly with. Leave room for both.</x:v>
      </x:c>
      <x:c r="F6" s="29" t="str">
        <x:v>Slide 5 of 6. Choose one essential responsibility. Choose one person you can speak honestly with. Leave room for both.</x:v>
      </x:c>
      <x:c r="G6" s="29" t="str">
        <x:v>editorial</x:v>
      </x:c>
      <x:c r="H6" s="29" t="str">
        <x:v>Draft — owner review</x:v>
      </x:c>
    </x:row>
    <x:row r="7" ht="84" customHeight="1">
      <x:c r="A7" s="29" t="str">
        <x:v>BTB-001</x:v>
      </x:c>
      <x:c r="B7" s="62" t="n">
        <x:v>46323</x:v>
      </x:c>
      <x:c r="C7" s="64" t="str">
        <x:v>P1</x:v>
      </x:c>
      <x:c r="D7" s="64" t="n">
        <x:v>6</x:v>
      </x:c>
      <x:c r="E7" s="29" t="str">
        <x:v>You do not have to look recovered to deserve support. Send this to someone carrying more than they show.</x:v>
      </x:c>
      <x:c r="F7" s="29" t="str">
        <x:v>Slide 6 of 6. You do not have to look recovered to deserve support. Send this to someone carrying more than they show.</x:v>
      </x:c>
      <x:c r="G7" s="29" t="str">
        <x:v>editorial</x:v>
      </x:c>
      <x:c r="H7" s="29" t="str">
        <x:v>Draft — owner review</x:v>
      </x:c>
    </x:row>
    <x:row r="8" ht="84" customHeight="1">
      <x:c r="A8" s="29" t="str">
        <x:v>BTB-002</x:v>
      </x:c>
      <x:c r="B8" s="62" t="n">
        <x:v>46324</x:v>
      </x:c>
      <x:c r="C8" s="64" t="str">
        <x:v>P2</x:v>
      </x:c>
      <x:c r="D8" s="64" t="n">
        <x:v>1</x:v>
      </x:c>
      <x:c r="E8" s="29" t="str">
        <x:v>A difficult morning does not need a life-changing plan.</x:v>
      </x:c>
      <x:c r="F8" s="29" t="str">
        <x:v>Slide 1 of 6. A difficult morning does not need a life-changing plan.</x:v>
      </x:c>
      <x:c r="G8" s="29" t="str">
        <x:v>contrast</x:v>
      </x:c>
      <x:c r="H8" s="29" t="str">
        <x:v>Draft — owner review</x:v>
      </x:c>
    </x:row>
    <x:row r="9" ht="84" customHeight="1">
      <x:c r="A9" s="29" t="str">
        <x:v>BTB-002</x:v>
      </x:c>
      <x:c r="B9" s="62" t="n">
        <x:v>46324</x:v>
      </x:c>
      <x:c r="C9" s="64" t="str">
        <x:v>P2</x:v>
      </x:c>
      <x:c r="D9" s="64" t="n">
        <x:v>2</x:v>
      </x:c>
      <x:c r="E9" s="29" t="str">
        <x:v>Sometimes the list called “fix my life” is too large to begin.</x:v>
      </x:c>
      <x:c r="F9" s="29" t="str">
        <x:v>Slide 2 of 6. Sometimes the list called “fix my life” is too large to begin.</x:v>
      </x:c>
      <x:c r="G9" s="29" t="str">
        <x:v>contrast</x:v>
      </x:c>
      <x:c r="H9" s="29" t="str">
        <x:v>Draft — owner review</x:v>
      </x:c>
    </x:row>
    <x:row r="10" ht="84" customHeight="1">
      <x:c r="A10" s="29" t="str">
        <x:v>BTB-002</x:v>
      </x:c>
      <x:c r="B10" s="62" t="n">
        <x:v>46324</x:v>
      </x:c>
      <x:c r="C10" s="64" t="str">
        <x:v>P2</x:v>
      </x:c>
      <x:c r="D10" s="64" t="n">
        <x:v>3</x:v>
      </x:c>
      <x:c r="E10" s="29" t="str">
        <x:v>Replace it with a smaller question: what would make the next hour less difficult?</x:v>
      </x:c>
      <x:c r="F10" s="29" t="str">
        <x:v>Slide 3 of 6. Replace it with a smaller question: what would make the next hour less difficult?</x:v>
      </x:c>
      <x:c r="G10" s="29" t="str">
        <x:v>contrast</x:v>
      </x:c>
      <x:c r="H10" s="29" t="str">
        <x:v>Draft — owner review</x:v>
      </x:c>
    </x:row>
    <x:row r="11" ht="84" customHeight="1">
      <x:c r="A11" s="29" t="str">
        <x:v>BTB-002</x:v>
      </x:c>
      <x:c r="B11" s="62" t="n">
        <x:v>46324</x:v>
      </x:c>
      <x:c r="C11" s="64" t="str">
        <x:v>P2</x:v>
      </x:c>
      <x:c r="D11" s="64" t="n">
        <x:v>4</x:v>
      </x:c>
      <x:c r="E11" s="29" t="str">
        <x:v>Open the curtains. Eat something available. Put the one important appointment where you can see it.</x:v>
      </x:c>
      <x:c r="F11" s="29" t="str">
        <x:v>Slide 4 of 6. Open the curtains. Eat something available. Put the one important appointment where you can see it.</x:v>
      </x:c>
      <x:c r="G11" s="29" t="str">
        <x:v>contrast</x:v>
      </x:c>
      <x:c r="H11" s="29" t="str">
        <x:v>Draft — owner review</x:v>
      </x:c>
    </x:row>
    <x:row r="12" ht="84" customHeight="1">
      <x:c r="A12" s="29" t="str">
        <x:v>BTB-002</x:v>
      </x:c>
      <x:c r="B12" s="62" t="n">
        <x:v>46324</x:v>
      </x:c>
      <x:c r="C12" s="64" t="str">
        <x:v>P2</x:v>
      </x:c>
      <x:c r="D12" s="64" t="n">
        <x:v>5</x:v>
      </x:c>
      <x:c r="E12" s="29" t="str">
        <x:v>Pick one of those steps, not all of them. A manageable start is still a start.</x:v>
      </x:c>
      <x:c r="F12" s="29" t="str">
        <x:v>Slide 5 of 6. Pick one of those steps, not all of them. A manageable start is still a start.</x:v>
      </x:c>
      <x:c r="G12" s="29" t="str">
        <x:v>contrast</x:v>
      </x:c>
      <x:c r="H12" s="29" t="str">
        <x:v>Draft — owner review</x:v>
      </x:c>
    </x:row>
    <x:row r="13" ht="84" customHeight="1">
      <x:c r="A13" s="29" t="str">
        <x:v>BTB-002</x:v>
      </x:c>
      <x:c r="B13" s="62" t="n">
        <x:v>46324</x:v>
      </x:c>
      <x:c r="C13" s="64" t="str">
        <x:v>P2</x:v>
      </x:c>
      <x:c r="D13" s="64" t="n">
        <x:v>6</x:v>
      </x:c>
      <x:c r="E13" s="29" t="str">
        <x:v>Save this for a morning when ordinary tasks feel unusually heavy.</x:v>
      </x:c>
      <x:c r="F13" s="29" t="str">
        <x:v>Slide 6 of 6. Save this for a morning when ordinary tasks feel unusually heavy.</x:v>
      </x:c>
      <x:c r="G13" s="29" t="str">
        <x:v>contrast</x:v>
      </x:c>
      <x:c r="H13" s="29" t="str">
        <x:v>Draft — owner review</x:v>
      </x:c>
    </x:row>
    <x:row r="14" ht="84" customHeight="1">
      <x:c r="A14" s="29" t="str">
        <x:v>BTB-003</x:v>
      </x:c>
      <x:c r="B14" s="62" t="n">
        <x:v>46325</x:v>
      </x:c>
      <x:c r="C14" s="64" t="str">
        <x:v>P3</x:v>
      </x:c>
      <x:c r="D14" s="64" t="n">
        <x:v>1</x:v>
      </x:c>
      <x:c r="E14" s="29" t="str">
        <x:v>The pickup message is not the place for the whole argument.</x:v>
      </x:c>
      <x:c r="F14" s="29" t="str">
        <x:v>Slide 1 of 6. The pickup message is not the place for the whole argument.</x:v>
      </x:c>
      <x:c r="G14" s="29" t="str">
        <x:v>script</x:v>
      </x:c>
      <x:c r="H14" s="29" t="str">
        <x:v>Draft — owner review</x:v>
      </x:c>
    </x:row>
    <x:row r="15" ht="84" customHeight="1">
      <x:c r="A15" s="29" t="str">
        <x:v>BTB-003</x:v>
      </x:c>
      <x:c r="B15" s="62" t="n">
        <x:v>46325</x:v>
      </x:c>
      <x:c r="C15" s="64" t="str">
        <x:v>P3</x:v>
      </x:c>
      <x:c r="D15" s="64" t="n">
        <x:v>2</x:v>
      </x:c>
      <x:c r="E15" s="29" t="str">
        <x:v>A practical question can become a conversation about everything that has ever hurt.</x:v>
      </x:c>
      <x:c r="F15" s="29" t="str">
        <x:v>Slide 2 of 6. A practical question can become a conversation about everything that has ever hurt.</x:v>
      </x:c>
      <x:c r="G15" s="29" t="str">
        <x:v>script</x:v>
      </x:c>
      <x:c r="H15" s="29" t="str">
        <x:v>Draft — owner review</x:v>
      </x:c>
    </x:row>
    <x:row r="16" ht="84" customHeight="1">
      <x:c r="A16" s="29" t="str">
        <x:v>BTB-003</x:v>
      </x:c>
      <x:c r="B16" s="62" t="n">
        <x:v>46325</x:v>
      </x:c>
      <x:c r="C16" s="64" t="str">
        <x:v>P3</x:v>
      </x:c>
      <x:c r="D16" s="64" t="n">
        <x:v>3</x:v>
      </x:c>
      <x:c r="E16" s="29" t="str">
        <x:v>Before replying, identify the actual task: a time, a place, an item, or a decision.</x:v>
      </x:c>
      <x:c r="F16" s="29" t="str">
        <x:v>Slide 3 of 6. Before replying, identify the actual task: a time, a place, an item, or a decision.</x:v>
      </x:c>
      <x:c r="G16" s="29" t="str">
        <x:v>script</x:v>
      </x:c>
      <x:c r="H16" s="29" t="str">
        <x:v>Draft — owner review</x:v>
      </x:c>
    </x:row>
    <x:row r="17" ht="84" customHeight="1">
      <x:c r="A17" s="29" t="str">
        <x:v>BTB-003</x:v>
      </x:c>
      <x:c r="B17" s="62" t="n">
        <x:v>46325</x:v>
      </x:c>
      <x:c r="C17" s="64" t="str">
        <x:v>P3</x:v>
      </x:c>
      <x:c r="D17" s="64" t="n">
        <x:v>4</x:v>
      </x:c>
      <x:c r="E17" s="29" t="str">
        <x:v>Try: “I can confirm the agreed pickup time. Please let me know whether the school bag will be ready.”</x:v>
      </x:c>
      <x:c r="F17" s="29" t="str">
        <x:v>Slide 4 of 6. Try: “I can confirm the agreed pickup time. Please let me know whether the school bag will be ready.”</x:v>
      </x:c>
      <x:c r="G17" s="29" t="str">
        <x:v>script</x:v>
      </x:c>
      <x:c r="H17" s="29" t="str">
        <x:v>Draft — owner review</x:v>
      </x:c>
    </x:row>
    <x:row r="18" ht="84" customHeight="1">
      <x:c r="A18" s="29" t="str">
        <x:v>BTB-003</x:v>
      </x:c>
      <x:c r="B18" s="62" t="n">
        <x:v>46325</x:v>
      </x:c>
      <x:c r="C18" s="64" t="str">
        <x:v>P3</x:v>
      </x:c>
      <x:c r="D18" s="64" t="n">
        <x:v>5</x:v>
      </x:c>
      <x:c r="E18" s="29" t="str">
        <x:v>Keep the reply about that task. Use the communication arrangements that apply to your family; address safety concerns through appropriate support.</x:v>
      </x:c>
      <x:c r="F18" s="29" t="str">
        <x:v>Slide 5 of 6. Keep the reply about that task. Use the communication arrangements that apply to your family; address safety concerns through appropriate support.</x:v>
      </x:c>
      <x:c r="G18" s="29" t="str">
        <x:v>script</x:v>
      </x:c>
      <x:c r="H18" s="29" t="str">
        <x:v>Draft — owner review</x:v>
      </x:c>
    </x:row>
    <x:row r="19" ht="84" customHeight="1">
      <x:c r="A19" s="29" t="str">
        <x:v>BTB-003</x:v>
      </x:c>
      <x:c r="B19" s="62" t="n">
        <x:v>46325</x:v>
      </x:c>
      <x:c r="C19" s="64" t="str">
        <x:v>P3</x:v>
      </x:c>
      <x:c r="D19" s="64" t="n">
        <x:v>6</x:v>
      </x:c>
      <x:c r="E19" s="29" t="str">
        <x:v>A clearer message does not solve the relationship. It can solve today's question. Save the wording.</x:v>
      </x:c>
      <x:c r="F19" s="29" t="str">
        <x:v>Slide 6 of 6. A clearer message does not solve the relationship. It can solve today's question. Save the wording.</x:v>
      </x:c>
      <x:c r="G19" s="29" t="str">
        <x:v>script</x:v>
      </x:c>
      <x:c r="H19" s="29" t="str">
        <x:v>Draft — owner review</x:v>
      </x:c>
    </x:row>
    <x:row r="20" ht="84" customHeight="1">
      <x:c r="A20" s="29" t="str">
        <x:v>BTB-004</x:v>
      </x:c>
      <x:c r="B20" s="62" t="n">
        <x:v>46326</x:v>
      </x:c>
      <x:c r="C20" s="64" t="str">
        <x:v>P4</x:v>
      </x:c>
      <x:c r="D20" s="64" t="n">
        <x:v>1</x:v>
      </x:c>
      <x:c r="E20" s="29" t="str">
        <x:v>Missing someone and choosing them again are different decisions.</x:v>
      </x:c>
      <x:c r="F20" s="29" t="str">
        <x:v>Slide 1 of 6. Missing someone and choosing them again are different decisions.</x:v>
      </x:c>
      <x:c r="G20" s="29" t="str">
        <x:v>contrast</x:v>
      </x:c>
      <x:c r="H20" s="29" t="str">
        <x:v>Draft — owner review</x:v>
      </x:c>
    </x:row>
    <x:row r="21" ht="84" customHeight="1">
      <x:c r="A21" s="29" t="str">
        <x:v>BTB-004</x:v>
      </x:c>
      <x:c r="B21" s="62" t="n">
        <x:v>46326</x:v>
      </x:c>
      <x:c r="C21" s="64" t="str">
        <x:v>P4</x:v>
      </x:c>
      <x:c r="D21" s="64" t="n">
        <x:v>2</x:v>
      </x:c>
      <x:c r="E21" s="29" t="str">
        <x:v>You may miss the routine, the familiarity, or who you hoped you would become together.</x:v>
      </x:c>
      <x:c r="F21" s="29" t="str">
        <x:v>Slide 2 of 6. You may miss the routine, the familiarity, or who you hoped you would become together.</x:v>
      </x:c>
      <x:c r="G21" s="29" t="str">
        <x:v>contrast</x:v>
      </x:c>
      <x:c r="H21" s="29" t="str">
        <x:v>Draft — owner review</x:v>
      </x:c>
    </x:row>
    <x:row r="22" ht="84" customHeight="1">
      <x:c r="A22" s="29" t="str">
        <x:v>BTB-004</x:v>
      </x:c>
      <x:c r="B22" s="62" t="n">
        <x:v>46326</x:v>
      </x:c>
      <x:c r="C22" s="64" t="str">
        <x:v>P4</x:v>
      </x:c>
      <x:c r="D22" s="64" t="n">
        <x:v>3</x:v>
      </x:c>
      <x:c r="E22" s="29" t="str">
        <x:v>Missing those things does not, by itself, answer whether the relationship can meet your needs now.</x:v>
      </x:c>
      <x:c r="F22" s="29" t="str">
        <x:v>Slide 3 of 6. Missing those things does not, by itself, answer whether the relationship can meet your needs now.</x:v>
      </x:c>
      <x:c r="G22" s="29" t="str">
        <x:v>contrast</x:v>
      </x:c>
      <x:c r="H22" s="29" t="str">
        <x:v>Draft — owner review</x:v>
      </x:c>
    </x:row>
    <x:row r="23" ht="84" customHeight="1">
      <x:c r="A23" s="29" t="str">
        <x:v>BTB-004</x:v>
      </x:c>
      <x:c r="B23" s="62" t="n">
        <x:v>46326</x:v>
      </x:c>
      <x:c r="C23" s="64" t="str">
        <x:v>P4</x:v>
      </x:c>
      <x:c r="D23" s="64" t="n">
        <x:v>4</x:v>
      </x:c>
      <x:c r="E23" s="29" t="str">
        <x:v>Write two separate lists: what I miss; what would need to change.</x:v>
      </x:c>
      <x:c r="F23" s="29" t="str">
        <x:v>Slide 4 of 6. Write two separate lists: what I miss; what would need to change.</x:v>
      </x:c>
      <x:c r="G23" s="29" t="str">
        <x:v>contrast</x:v>
      </x:c>
      <x:c r="H23" s="29" t="str">
        <x:v>Draft — owner review</x:v>
      </x:c>
    </x:row>
    <x:row r="24" ht="84" customHeight="1">
      <x:c r="A24" s="29" t="str">
        <x:v>BTB-004</x:v>
      </x:c>
      <x:c r="B24" s="62" t="n">
        <x:v>46326</x:v>
      </x:c>
      <x:c r="C24" s="64" t="str">
        <x:v>P4</x:v>
      </x:c>
      <x:c r="D24" s="64" t="n">
        <x:v>5</x:v>
      </x:c>
      <x:c r="E24" s="29" t="str">
        <x:v>Let the second list include observable behaviour, not only promises or a powerful conversation.</x:v>
      </x:c>
      <x:c r="F24" s="29" t="str">
        <x:v>Slide 5 of 6. Let the second list include observable behaviour, not only promises or a powerful conversation.</x:v>
      </x:c>
      <x:c r="G24" s="29" t="str">
        <x:v>contrast</x:v>
      </x:c>
      <x:c r="H24" s="29" t="str">
        <x:v>Draft — owner review</x:v>
      </x:c>
    </x:row>
    <x:row r="25" ht="84" customHeight="1">
      <x:c r="A25" s="29" t="str">
        <x:v>BTB-004</x:v>
      </x:c>
      <x:c r="B25" s="62" t="n">
        <x:v>46326</x:v>
      </x:c>
      <x:c r="C25" s="64" t="str">
        <x:v>P4</x:v>
      </x:c>
      <x:c r="D25" s="64" t="n">
        <x:v>6</x:v>
      </x:c>
      <x:c r="E25" s="29" t="str">
        <x:v>You can take your feelings seriously without making an immediate decision. Share this with someone weighing both.</x:v>
      </x:c>
      <x:c r="F25" s="29" t="str">
        <x:v>Slide 6 of 6. You can take your feelings seriously without making an immediate decision. Share this with someone weighing both.</x:v>
      </x:c>
      <x:c r="G25" s="29" t="str">
        <x:v>contrast</x:v>
      </x:c>
      <x:c r="H25" s="29" t="str">
        <x:v>Draft — owner review</x:v>
      </x:c>
    </x:row>
    <x:row r="26" ht="84" customHeight="1">
      <x:c r="A26" s="29" t="str">
        <x:v>BTB-005</x:v>
      </x:c>
      <x:c r="B26" s="62" t="n">
        <x:v>46327</x:v>
      </x:c>
      <x:c r="C26" s="64" t="str">
        <x:v>P5</x:v>
      </x:c>
      <x:c r="D26" s="64" t="n">
        <x:v>1</x:v>
      </x:c>
      <x:c r="E26" s="29" t="str">
        <x:v>Your first rebuilding plan can fit on one page.</x:v>
      </x:c>
      <x:c r="F26" s="29" t="str">
        <x:v>Slide 1 of 6. Your first rebuilding plan can fit on one page.</x:v>
      </x:c>
      <x:c r="G26" s="29" t="str">
        <x:v>checklist</x:v>
      </x:c>
      <x:c r="H26" s="29" t="str">
        <x:v>Draft — owner review</x:v>
      </x:c>
    </x:row>
    <x:row r="27" ht="84" customHeight="1">
      <x:c r="A27" s="29" t="str">
        <x:v>BTB-005</x:v>
      </x:c>
      <x:c r="B27" s="62" t="n">
        <x:v>46327</x:v>
      </x:c>
      <x:c r="C27" s="64" t="str">
        <x:v>P5</x:v>
      </x:c>
      <x:c r="D27" s="64" t="n">
        <x:v>2</x:v>
      </x:c>
      <x:c r="E27" s="29" t="str">
        <x:v>You do not need a perfect system for a life that has changed.</x:v>
      </x:c>
      <x:c r="F27" s="29" t="str">
        <x:v>Slide 2 of 6. You do not need a perfect system for a life that has changed.</x:v>
      </x:c>
      <x:c r="G27" s="29" t="str">
        <x:v>checklist</x:v>
      </x:c>
      <x:c r="H27" s="29" t="str">
        <x:v>Draft — owner review</x:v>
      </x:c>
    </x:row>
    <x:row r="28" ht="84" customHeight="1">
      <x:c r="A28" s="29" t="str">
        <x:v>BTB-005</x:v>
      </x:c>
      <x:c r="B28" s="62" t="n">
        <x:v>46327</x:v>
      </x:c>
      <x:c r="C28" s="64" t="str">
        <x:v>P5</x:v>
      </x:c>
      <x:c r="D28" s="64" t="n">
        <x:v>3</x:v>
      </x:c>
      <x:c r="E28" s="29" t="str">
        <x:v>Make three headings: responsibilities this week; people who can help; decisions that need more information.</x:v>
      </x:c>
      <x:c r="F28" s="29" t="str">
        <x:v>Slide 3 of 6. Make three headings: responsibilities this week; people who can help; decisions that need more information.</x:v>
      </x:c>
      <x:c r="G28" s="29" t="str">
        <x:v>checklist</x:v>
      </x:c>
      <x:c r="H28" s="29" t="str">
        <x:v>Draft — owner review</x:v>
      </x:c>
    </x:row>
    <x:row r="29" ht="84" customHeight="1">
      <x:c r="A29" s="29" t="str">
        <x:v>BTB-005</x:v>
      </x:c>
      <x:c r="B29" s="62" t="n">
        <x:v>46327</x:v>
      </x:c>
      <x:c r="C29" s="64" t="str">
        <x:v>P5</x:v>
      </x:c>
      <x:c r="D29" s="64" t="n">
        <x:v>4</x:v>
      </x:c>
      <x:c r="E29" s="29" t="str">
        <x:v>Put only the next action under each heading. “Find the document” is more usable than “sort everything out.”</x:v>
      </x:c>
      <x:c r="F29" s="29" t="str">
        <x:v>Slide 4 of 6. Put only the next action under each heading. “Find the document” is more usable than “sort everything out.”</x:v>
      </x:c>
      <x:c r="G29" s="29" t="str">
        <x:v>checklist</x:v>
      </x:c>
      <x:c r="H29" s="29" t="str">
        <x:v>Draft — owner review</x:v>
      </x:c>
    </x:row>
    <x:row r="30" ht="84" customHeight="1">
      <x:c r="A30" s="29" t="str">
        <x:v>BTB-005</x:v>
      </x:c>
      <x:c r="B30" s="62" t="n">
        <x:v>46327</x:v>
      </x:c>
      <x:c r="C30" s="64" t="str">
        <x:v>P5</x:v>
      </x:c>
      <x:c r="D30" s="64" t="n">
        <x:v>5</x:v>
      </x:c>
      <x:c r="E30" s="29" t="str">
        <x:v>Choose one action for today. Keep the page somewhere you will actually look.</x:v>
      </x:c>
      <x:c r="F30" s="29" t="str">
        <x:v>Slide 5 of 6. Choose one action for today. Keep the page somewhere you will actually look.</x:v>
      </x:c>
      <x:c r="G30" s="29" t="str">
        <x:v>checklist</x:v>
      </x:c>
      <x:c r="H30" s="29" t="str">
        <x:v>Draft — owner review</x:v>
      </x:c>
    </x:row>
    <x:row r="31" ht="84" customHeight="1">
      <x:c r="A31" s="29" t="str">
        <x:v>BTB-005</x:v>
      </x:c>
      <x:c r="B31" s="62" t="n">
        <x:v>46327</x:v>
      </x:c>
      <x:c r="C31" s="64" t="str">
        <x:v>P5</x:v>
      </x:c>
      <x:c r="D31" s="64" t="n">
        <x:v>6</x:v>
      </x:c>
      <x:c r="E31" s="29" t="str">
        <x:v>Save this structure for the day your thoughts need somewhere outside your head.</x:v>
      </x:c>
      <x:c r="F31" s="29" t="str">
        <x:v>Slide 6 of 6. Save this structure for the day your thoughts need somewhere outside your head.</x:v>
      </x:c>
      <x:c r="G31" s="29" t="str">
        <x:v>checklist</x:v>
      </x:c>
      <x:c r="H31" s="29" t="str">
        <x:v>Draft — owner review</x:v>
      </x:c>
    </x:row>
    <x:row r="32" ht="84" customHeight="1">
      <x:c r="A32" s="29" t="str">
        <x:v>BTB-006</x:v>
      </x:c>
      <x:c r="B32" s="62" t="n">
        <x:v>46328</x:v>
      </x:c>
      <x:c r="C32" s="64" t="str">
        <x:v>P1</x:v>
      </x:c>
      <x:c r="D32" s="64" t="n">
        <x:v>1</x:v>
      </x:c>
      <x:c r="E32" s="29" t="str">
        <x:v>You can grieve a future that never happened.</x:v>
      </x:c>
      <x:c r="F32" s="29" t="str">
        <x:v>Slide 1 of 6. You can grieve a future that never happened.</x:v>
      </x:c>
      <x:c r="G32" s="29" t="str">
        <x:v>editorial</x:v>
      </x:c>
      <x:c r="H32" s="29" t="str">
        <x:v>Draft — owner review</x:v>
      </x:c>
    </x:row>
    <x:row r="33" ht="84" customHeight="1">
      <x:c r="A33" s="29" t="str">
        <x:v>BTB-006</x:v>
      </x:c>
      <x:c r="B33" s="62" t="n">
        <x:v>46328</x:v>
      </x:c>
      <x:c r="C33" s="64" t="str">
        <x:v>P1</x:v>
      </x:c>
      <x:c r="D33" s="64" t="n">
        <x:v>2</x:v>
      </x:c>
      <x:c r="E33" s="29" t="str">
        <x:v>The holidays you imagined. The home you pictured. The ordinary years you assumed were coming.</x:v>
      </x:c>
      <x:c r="F33" s="29" t="str">
        <x:v>Slide 2 of 6. The holidays you imagined. The home you pictured. The ordinary years you assumed were coming.</x:v>
      </x:c>
      <x:c r="G33" s="29" t="str">
        <x:v>editorial</x:v>
      </x:c>
      <x:c r="H33" s="29" t="str">
        <x:v>Draft — owner review</x:v>
      </x:c>
    </x:row>
    <x:row r="34" ht="84" customHeight="1">
      <x:c r="A34" s="29" t="str">
        <x:v>BTB-006</x:v>
      </x:c>
      <x:c r="B34" s="62" t="n">
        <x:v>46328</x:v>
      </x:c>
      <x:c r="C34" s="64" t="str">
        <x:v>P1</x:v>
      </x:c>
      <x:c r="D34" s="64" t="n">
        <x:v>3</x:v>
      </x:c>
      <x:c r="E34" s="29" t="str">
        <x:v>Losing that picture can hurt even when you understand why the relationship changed.</x:v>
      </x:c>
      <x:c r="F34" s="29" t="str">
        <x:v>Slide 3 of 6. Losing that picture can hurt even when you understand why the relationship changed.</x:v>
      </x:c>
      <x:c r="G34" s="29" t="str">
        <x:v>editorial</x:v>
      </x:c>
      <x:c r="H34" s="29" t="str">
        <x:v>Draft — owner review</x:v>
      </x:c>
    </x:row>
    <x:row r="35" ht="84" customHeight="1">
      <x:c r="A35" s="29" t="str">
        <x:v>BTB-006</x:v>
      </x:c>
      <x:c r="B35" s="62" t="n">
        <x:v>46328</x:v>
      </x:c>
      <x:c r="C35" s="64" t="str">
        <x:v>P1</x:v>
      </x:c>
      <x:c r="D35" s="64" t="n">
        <x:v>4</x:v>
      </x:c>
      <x:c r="E35" s="29" t="str">
        <x:v>Name the part you are missing: companionship, belonging, shared plans, or something else.</x:v>
      </x:c>
      <x:c r="F35" s="29" t="str">
        <x:v>Slide 4 of 6. Name the part you are missing: companionship, belonging, shared plans, or something else.</x:v>
      </x:c>
      <x:c r="G35" s="29" t="str">
        <x:v>editorial</x:v>
      </x:c>
      <x:c r="H35" s="29" t="str">
        <x:v>Draft — owner review</x:v>
      </x:c>
    </x:row>
    <x:row r="36" ht="84" customHeight="1">
      <x:c r="A36" s="29" t="str">
        <x:v>BTB-006</x:v>
      </x:c>
      <x:c r="B36" s="62" t="n">
        <x:v>46328</x:v>
      </x:c>
      <x:c r="C36" s="64" t="str">
        <x:v>P1</x:v>
      </x:c>
      <x:c r="D36" s="64" t="n">
        <x:v>5</x:v>
      </x:c>
      <x:c r="E36" s="29" t="str">
        <x:v>Then ask what one small version of that need could look like in your life now.</x:v>
      </x:c>
      <x:c r="F36" s="29" t="str">
        <x:v>Slide 5 of 6. Then ask what one small version of that need could look like in your life now.</x:v>
      </x:c>
      <x:c r="G36" s="29" t="str">
        <x:v>editorial</x:v>
      </x:c>
      <x:c r="H36" s="29" t="str">
        <x:v>Draft — owner review</x:v>
      </x:c>
    </x:row>
    <x:row r="37" ht="84" customHeight="1">
      <x:c r="A37" s="29" t="str">
        <x:v>BTB-006</x:v>
      </x:c>
      <x:c r="B37" s="62" t="n">
        <x:v>46328</x:v>
      </x:c>
      <x:c r="C37" s="64" t="str">
        <x:v>P1</x:v>
      </x:c>
      <x:c r="D37" s="64" t="n">
        <x:v>6</x:v>
      </x:c>
      <x:c r="E37" s="29" t="str">
        <x:v>A different future does not have to be built all at once. Send this to someone facing an unfamiliar one.</x:v>
      </x:c>
      <x:c r="F37" s="29" t="str">
        <x:v>Slide 6 of 6. A different future does not have to be built all at once. Send this to someone facing an unfamiliar one.</x:v>
      </x:c>
      <x:c r="G37" s="29" t="str">
        <x:v>editorial</x:v>
      </x:c>
      <x:c r="H37" s="29" t="str">
        <x:v>Draft — owner review</x:v>
      </x:c>
    </x:row>
    <x:row r="38" ht="84" customHeight="1">
      <x:c r="A38" s="29" t="str">
        <x:v>BTB-007</x:v>
      </x:c>
      <x:c r="B38" s="62" t="n">
        <x:v>46329</x:v>
      </x:c>
      <x:c r="C38" s="64" t="str">
        <x:v>P2</x:v>
      </x:c>
      <x:c r="D38" s="64" t="n">
        <x:v>1</x:v>
      </x:c>
      <x:c r="E38" s="29" t="str">
        <x:v>You do not need a polished explanation to ask for company.</x:v>
      </x:c>
      <x:c r="F38" s="29" t="str">
        <x:v>Slide 1 of 6. You do not need a polished explanation to ask for company.</x:v>
      </x:c>
      <x:c r="G38" s="29" t="str">
        <x:v>script</x:v>
      </x:c>
      <x:c r="H38" s="29" t="str">
        <x:v>Draft — owner review</x:v>
      </x:c>
    </x:row>
    <x:row r="39" ht="84" customHeight="1">
      <x:c r="A39" s="29" t="str">
        <x:v>BTB-007</x:v>
      </x:c>
      <x:c r="B39" s="62" t="n">
        <x:v>46329</x:v>
      </x:c>
      <x:c r="C39" s="64" t="str">
        <x:v>P2</x:v>
      </x:c>
      <x:c r="D39" s="64" t="n">
        <x:v>2</x:v>
      </x:c>
      <x:c r="E39" s="29" t="str">
        <x:v>Waiting until you can explain everything may leave you waiting alone.</x:v>
      </x:c>
      <x:c r="F39" s="29" t="str">
        <x:v>Slide 2 of 6. Waiting until you can explain everything may leave you waiting alone.</x:v>
      </x:c>
      <x:c r="G39" s="29" t="str">
        <x:v>script</x:v>
      </x:c>
      <x:c r="H39" s="29" t="str">
        <x:v>Draft — owner review</x:v>
      </x:c>
    </x:row>
    <x:row r="40" ht="84" customHeight="1">
      <x:c r="A40" s="29" t="str">
        <x:v>BTB-007</x:v>
      </x:c>
      <x:c r="B40" s="62" t="n">
        <x:v>46329</x:v>
      </x:c>
      <x:c r="C40" s="64" t="str">
        <x:v>P2</x:v>
      </x:c>
      <x:c r="D40" s="64" t="n">
        <x:v>3</x:v>
      </x:c>
      <x:c r="E40" s="29" t="str">
        <x:v>Try: “I'm having a difficult evening. Are you free for a short call? You don't need to fix anything.”</x:v>
      </x:c>
      <x:c r="F40" s="29" t="str">
        <x:v>Slide 3 of 6. Try: “I'm having a difficult evening. Are you free for a short call? You don't need to fix anything.”</x:v>
      </x:c>
      <x:c r="G40" s="29" t="str">
        <x:v>script</x:v>
      </x:c>
      <x:c r="H40" s="29" t="str">
        <x:v>Draft — owner review</x:v>
      </x:c>
    </x:row>
    <x:row r="41" ht="84" customHeight="1">
      <x:c r="A41" s="29" t="str">
        <x:v>BTB-007</x:v>
      </x:c>
      <x:c r="B41" s="62" t="n">
        <x:v>46329</x:v>
      </x:c>
      <x:c r="C41" s="64" t="str">
        <x:v>P2</x:v>
      </x:c>
      <x:c r="D41" s="64" t="n">
        <x:v>4</x:v>
      </x:c>
      <x:c r="E41" s="29" t="str">
        <x:v>Make the request specific enough that the other person knows what you are asking for.</x:v>
      </x:c>
      <x:c r="F41" s="29" t="str">
        <x:v>Slide 4 of 6. Make the request specific enough that the other person knows what you are asking for.</x:v>
      </x:c>
      <x:c r="G41" s="29" t="str">
        <x:v>script</x:v>
      </x:c>
      <x:c r="H41" s="29" t="str">
        <x:v>Draft — owner review</x:v>
      </x:c>
    </x:row>
    <x:row r="42" ht="84" customHeight="1">
      <x:c r="A42" s="29" t="str">
        <x:v>BTB-007</x:v>
      </x:c>
      <x:c r="B42" s="62" t="n">
        <x:v>46329</x:v>
      </x:c>
      <x:c r="C42" s="64" t="str">
        <x:v>P2</x:v>
      </x:c>
      <x:c r="D42" s="64" t="n">
        <x:v>5</x:v>
      </x:c>
      <x:c r="E42" s="29" t="str">
        <x:v>If they cannot respond, try another trusted person or a suitable support service. One unavailable person is not the whole world.</x:v>
      </x:c>
      <x:c r="F42" s="29" t="str">
        <x:v>Slide 5 of 6. If they cannot respond, try another trusted person or a suitable support service. One unavailable person is not the whole world.</x:v>
      </x:c>
      <x:c r="G42" s="29" t="str">
        <x:v>script</x:v>
      </x:c>
      <x:c r="H42" s="29" t="str">
        <x:v>Draft — owner review</x:v>
      </x:c>
    </x:row>
    <x:row r="43" ht="84" customHeight="1">
      <x:c r="A43" s="29" t="str">
        <x:v>BTB-007</x:v>
      </x:c>
      <x:c r="B43" s="62" t="n">
        <x:v>46329</x:v>
      </x:c>
      <x:c r="C43" s="64" t="str">
        <x:v>P2</x:v>
      </x:c>
      <x:c r="D43" s="64" t="n">
        <x:v>6</x:v>
      </x:c>
      <x:c r="E43" s="29" t="str">
        <x:v>Save the sentence for a day when asking feels harder than coping alone.</x:v>
      </x:c>
      <x:c r="F43" s="29" t="str">
        <x:v>Slide 6 of 6. Save the sentence for a day when asking feels harder than coping alone.</x:v>
      </x:c>
      <x:c r="G43" s="29" t="str">
        <x:v>script</x:v>
      </x:c>
      <x:c r="H43" s="29" t="str">
        <x:v>Draft — owner review</x:v>
      </x:c>
    </x:row>
    <x:row r="44" ht="84" customHeight="1">
      <x:c r="A44" s="29" t="str">
        <x:v>BTB-008</x:v>
      </x:c>
      <x:c r="B44" s="62" t="n">
        <x:v>46330</x:v>
      </x:c>
      <x:c r="C44" s="64" t="str">
        <x:v>P5</x:v>
      </x:c>
      <x:c r="D44" s="64" t="n">
        <x:v>1</x:v>
      </x:c>
      <x:c r="E44" s="29" t="str">
        <x:v>Open the bill before turning it into a verdict on yourself.</x:v>
      </x:c>
      <x:c r="F44" s="29" t="str">
        <x:v>Slide 1 of 6. Open the bill before turning it into a verdict on yourself.</x:v>
      </x:c>
      <x:c r="G44" s="29" t="str">
        <x:v>checklist</x:v>
      </x:c>
      <x:c r="H44" s="29" t="str">
        <x:v>Draft — owner review</x:v>
      </x:c>
    </x:row>
    <x:row r="45" ht="84" customHeight="1">
      <x:c r="A45" s="29" t="str">
        <x:v>BTB-008</x:v>
      </x:c>
      <x:c r="B45" s="62" t="n">
        <x:v>46330</x:v>
      </x:c>
      <x:c r="C45" s="64" t="str">
        <x:v>P5</x:v>
      </x:c>
      <x:c r="D45" s="64" t="n">
        <x:v>2</x:v>
      </x:c>
      <x:c r="E45" s="29" t="str">
        <x:v>An unopened envelope leaves room for every frightening possibility.</x:v>
      </x:c>
      <x:c r="F45" s="29" t="str">
        <x:v>Slide 2 of 6. An unopened envelope leaves room for every frightening possibility.</x:v>
      </x:c>
      <x:c r="G45" s="29" t="str">
        <x:v>checklist</x:v>
      </x:c>
      <x:c r="H45" s="29" t="str">
        <x:v>Draft — owner review</x:v>
      </x:c>
    </x:row>
    <x:row r="46" ht="84" customHeight="1">
      <x:c r="A46" s="29" t="str">
        <x:v>BTB-008</x:v>
      </x:c>
      <x:c r="B46" s="62" t="n">
        <x:v>46330</x:v>
      </x:c>
      <x:c r="C46" s="64" t="str">
        <x:v>P5</x:v>
      </x:c>
      <x:c r="D46" s="64" t="n">
        <x:v>3</x:v>
      </x:c>
      <x:c r="E46" s="29" t="str">
        <x:v>When you are ready, identify the amount, the due date, and who to contact with a question.</x:v>
      </x:c>
      <x:c r="F46" s="29" t="str">
        <x:v>Slide 3 of 6. When you are ready, identify the amount, the due date, and who to contact with a question.</x:v>
      </x:c>
      <x:c r="G46" s="29" t="str">
        <x:v>checklist</x:v>
      </x:c>
      <x:c r="H46" s="29" t="str">
        <x:v>Draft — owner review</x:v>
      </x:c>
    </x:row>
    <x:row r="47" ht="84" customHeight="1">
      <x:c r="A47" s="29" t="str">
        <x:v>BTB-008</x:v>
      </x:c>
      <x:c r="B47" s="62" t="n">
        <x:v>46330</x:v>
      </x:c>
      <x:c r="C47" s="64" t="str">
        <x:v>P5</x:v>
      </x:c>
      <x:c r="D47" s="64" t="n">
        <x:v>4</x:v>
      </x:c>
      <x:c r="E47" s="29" t="str">
        <x:v>Record what you know. Mark what needs clarification. Do not make a financial commitment from a motivational post.</x:v>
      </x:c>
      <x:c r="F47" s="29" t="str">
        <x:v>Slide 4 of 6. Record what you know. Mark what needs clarification. Do not make a financial commitment from a motivational post.</x:v>
      </x:c>
      <x:c r="G47" s="29" t="str">
        <x:v>checklist</x:v>
      </x:c>
      <x:c r="H47" s="29" t="str">
        <x:v>Draft — owner review</x:v>
      </x:c>
    </x:row>
    <x:row r="48" ht="84" customHeight="1">
      <x:c r="A48" s="29" t="str">
        <x:v>BTB-008</x:v>
      </x:c>
      <x:c r="B48" s="62" t="n">
        <x:v>46330</x:v>
      </x:c>
      <x:c r="C48" s="64" t="str">
        <x:v>P5</x:v>
      </x:c>
      <x:c r="D48" s="64" t="n">
        <x:v>5</x:v>
      </x:c>
      <x:c r="E48" s="29" t="str">
        <x:v>Where needed, ask a qualified adviser or the relevant provider about your actual options.</x:v>
      </x:c>
      <x:c r="F48" s="29" t="str">
        <x:v>Slide 5 of 6. Where needed, ask a qualified adviser or the relevant provider about your actual options.</x:v>
      </x:c>
      <x:c r="G48" s="29" t="str">
        <x:v>checklist</x:v>
      </x:c>
      <x:c r="H48" s="29" t="str">
        <x:v>Draft — owner review</x:v>
      </x:c>
    </x:row>
    <x:row r="49" ht="84" customHeight="1">
      <x:c r="A49" s="29" t="str">
        <x:v>BTB-008</x:v>
      </x:c>
      <x:c r="B49" s="62" t="n">
        <x:v>46330</x:v>
      </x:c>
      <x:c r="C49" s="64" t="str">
        <x:v>P5</x:v>
      </x:c>
      <x:c r="D49" s="64" t="n">
        <x:v>6</x:v>
      </x:c>
      <x:c r="E49" s="29" t="str">
        <x:v>The first task is understanding the document, not judging your entire life. Save this reminder.</x:v>
      </x:c>
      <x:c r="F49" s="29" t="str">
        <x:v>Slide 6 of 6. The first task is understanding the document, not judging your entire life. Save this reminder.</x:v>
      </x:c>
      <x:c r="G49" s="29" t="str">
        <x:v>checklist</x:v>
      </x:c>
      <x:c r="H49" s="29" t="str">
        <x:v>Draft — owner review</x:v>
      </x:c>
    </x:row>
    <x:row r="50" ht="84" customHeight="1">
      <x:c r="A50" s="29" t="str">
        <x:v>BTB-009</x:v>
      </x:c>
      <x:c r="B50" s="62" t="n">
        <x:v>46331</x:v>
      </x:c>
      <x:c r="C50" s="64" t="str">
        <x:v>P3</x:v>
      </x:c>
      <x:c r="D50" s="64" t="n">
        <x:v>1</x:v>
      </x:c>
      <x:c r="E50" s="29" t="str">
        <x:v>Your child should not have to deliver the message.</x:v>
      </x:c>
      <x:c r="F50" s="29" t="str">
        <x:v>Slide 1 of 6. Your child should not have to deliver the message.</x:v>
      </x:c>
      <x:c r="G50" s="29" t="str">
        <x:v>editorial</x:v>
      </x:c>
      <x:c r="H50" s="29" t="str">
        <x:v>Draft — owner review</x:v>
      </x:c>
    </x:row>
    <x:row r="51" ht="84" customHeight="1">
      <x:c r="A51" s="29" t="str">
        <x:v>BTB-009</x:v>
      </x:c>
      <x:c r="B51" s="62" t="n">
        <x:v>46331</x:v>
      </x:c>
      <x:c r="C51" s="64" t="str">
        <x:v>P3</x:v>
      </x:c>
      <x:c r="D51" s="64" t="n">
        <x:v>2</x:v>
      </x:c>
      <x:c r="E51" s="29" t="str">
        <x:v>A forgotten item can be a practical problem without becoming your child's responsibility to resolve between adults.</x:v>
      </x:c>
      <x:c r="F51" s="29" t="str">
        <x:v>Slide 2 of 6. A forgotten item can be a practical problem without becoming your child's responsibility to resolve between adults.</x:v>
      </x:c>
      <x:c r="G51" s="29" t="str">
        <x:v>editorial</x:v>
      </x:c>
      <x:c r="H51" s="29" t="str">
        <x:v>Draft — owner review</x:v>
      </x:c>
    </x:row>
    <x:row r="52" ht="84" customHeight="1">
      <x:c r="A52" s="29" t="str">
        <x:v>BTB-009</x:v>
      </x:c>
      <x:c r="B52" s="62" t="n">
        <x:v>46331</x:v>
      </x:c>
      <x:c r="C52" s="64" t="str">
        <x:v>P3</x:v>
      </x:c>
      <x:c r="D52" s="64" t="n">
        <x:v>3</x:v>
      </x:c>
      <x:c r="E52" s="29" t="str">
        <x:v>Use the adult communication channel available to you. Keep the request specific.</x:v>
      </x:c>
      <x:c r="F52" s="29" t="str">
        <x:v>Slide 3 of 6. Use the adult communication channel available to you. Keep the request specific.</x:v>
      </x:c>
      <x:c r="G52" s="29" t="str">
        <x:v>editorial</x:v>
      </x:c>
      <x:c r="H52" s="29" t="str">
        <x:v>Draft — owner review</x:v>
      </x:c>
    </x:row>
    <x:row r="53" ht="84" customHeight="1">
      <x:c r="A53" s="29" t="str">
        <x:v>BTB-009</x:v>
      </x:c>
      <x:c r="B53" s="62" t="n">
        <x:v>46331</x:v>
      </x:c>
      <x:c r="C53" s="64" t="str">
        <x:v>P3</x:v>
      </x:c>
      <x:c r="D53" s="64" t="n">
        <x:v>4</x:v>
      </x:c>
      <x:c r="E53" s="29" t="str">
        <x:v>With your child, try: “Thanks for telling me. The adults will work out the details.”</x:v>
      </x:c>
      <x:c r="F53" s="29" t="str">
        <x:v>Slide 4 of 6. With your child, try: “Thanks for telling me. The adults will work out the details.”</x:v>
      </x:c>
      <x:c r="G53" s="29" t="str">
        <x:v>editorial</x:v>
      </x:c>
      <x:c r="H53" s="29" t="str">
        <x:v>Draft — owner review</x:v>
      </x:c>
    </x:row>
    <x:row r="54" ht="84" customHeight="1">
      <x:c r="A54" s="29" t="str">
        <x:v>BTB-009</x:v>
      </x:c>
      <x:c r="B54" s="62" t="n">
        <x:v>46331</x:v>
      </x:c>
      <x:c r="C54" s="64" t="str">
        <x:v>P3</x:v>
      </x:c>
      <x:c r="D54" s="64" t="n">
        <x:v>5</x:v>
      </x:c>
      <x:c r="E54" s="29" t="str">
        <x:v>Follow through without asking them to report reactions or choose whose version is correct.</x:v>
      </x:c>
      <x:c r="F54" s="29" t="str">
        <x:v>Slide 5 of 6. Follow through without asking them to report reactions or choose whose version is correct.</x:v>
      </x:c>
      <x:c r="G54" s="29" t="str">
        <x:v>editorial</x:v>
      </x:c>
      <x:c r="H54" s="29" t="str">
        <x:v>Draft — owner review</x:v>
      </x:c>
    </x:row>
    <x:row r="55" ht="84" customHeight="1">
      <x:c r="A55" s="29" t="str">
        <x:v>BTB-009</x:v>
      </x:c>
      <x:c r="B55" s="62" t="n">
        <x:v>46331</x:v>
      </x:c>
      <x:c r="C55" s="64" t="str">
        <x:v>P3</x:v>
      </x:c>
      <x:c r="D55" s="64" t="n">
        <x:v>6</x:v>
      </x:c>
      <x:c r="E55" s="29" t="str">
        <x:v>Children can carry their school bags without carrying the adult conversation. Share this principle, not a private dispute.</x:v>
      </x:c>
      <x:c r="F55" s="29" t="str">
        <x:v>Slide 6 of 6. Children can carry their school bags without carrying the adult conversation. Share this principle, not a private dispute.</x:v>
      </x:c>
      <x:c r="G55" s="29" t="str">
        <x:v>editorial</x:v>
      </x:c>
      <x:c r="H55" s="29" t="str">
        <x:v>Draft — owner review</x:v>
      </x:c>
    </x:row>
    <x:row r="56" ht="84" customHeight="1">
      <x:c r="A56" s="29" t="str">
        <x:v>BTB-010</x:v>
      </x:c>
      <x:c r="B56" s="62" t="n">
        <x:v>46332</x:v>
      </x:c>
      <x:c r="C56" s="64" t="str">
        <x:v>P4</x:v>
      </x:c>
      <x:c r="D56" s="64" t="n">
        <x:v>1</x:v>
      </x:c>
      <x:c r="E56" s="29" t="str">
        <x:v>A boundary needs an action, not a longer speech.</x:v>
      </x:c>
      <x:c r="F56" s="29" t="str">
        <x:v>Slide 1 of 6. A boundary needs an action, not a longer speech.</x:v>
      </x:c>
      <x:c r="G56" s="29" t="str">
        <x:v>contrast</x:v>
      </x:c>
      <x:c r="H56" s="29" t="str">
        <x:v>Draft — owner review</x:v>
      </x:c>
    </x:row>
    <x:row r="57" ht="84" customHeight="1">
      <x:c r="A57" s="29" t="str">
        <x:v>BTB-010</x:v>
      </x:c>
      <x:c r="B57" s="62" t="n">
        <x:v>46332</x:v>
      </x:c>
      <x:c r="C57" s="64" t="str">
        <x:v>P4</x:v>
      </x:c>
      <x:c r="D57" s="64" t="n">
        <x:v>2</x:v>
      </x:c>
      <x:c r="E57" s="29" t="str">
        <x:v>“Please stop upsetting me” may express pain without making the limit clear.</x:v>
      </x:c>
      <x:c r="F57" s="29" t="str">
        <x:v>Slide 2 of 6. “Please stop upsetting me” may express pain without making the limit clear.</x:v>
      </x:c>
      <x:c r="G57" s="29" t="str">
        <x:v>contrast</x:v>
      </x:c>
      <x:c r="H57" s="29" t="str">
        <x:v>Draft — owner review</x:v>
      </x:c>
    </x:row>
    <x:row r="58" ht="84" customHeight="1">
      <x:c r="A58" s="29" t="str">
        <x:v>BTB-010</x:v>
      </x:c>
      <x:c r="B58" s="62" t="n">
        <x:v>46332</x:v>
      </x:c>
      <x:c r="C58" s="64" t="str">
        <x:v>P4</x:v>
      </x:c>
      <x:c r="D58" s="64" t="n">
        <x:v>3</x:v>
      </x:c>
      <x:c r="E58" s="29" t="str">
        <x:v>A more specific version: “I can discuss the issue, but I will pause the conversation if the insults continue.”</x:v>
      </x:c>
      <x:c r="F58" s="29" t="str">
        <x:v>Slide 3 of 6. A more specific version: “I can discuss the issue, but I will pause the conversation if the insults continue.”</x:v>
      </x:c>
      <x:c r="G58" s="29" t="str">
        <x:v>contrast</x:v>
      </x:c>
      <x:c r="H58" s="29" t="str">
        <x:v>Draft — owner review</x:v>
      </x:c>
    </x:row>
    <x:row r="59" ht="84" customHeight="1">
      <x:c r="A59" s="29" t="str">
        <x:v>BTB-010</x:v>
      </x:c>
      <x:c r="B59" s="62" t="n">
        <x:v>46332</x:v>
      </x:c>
      <x:c r="C59" s="64" t="str">
        <x:v>P4</x:v>
      </x:c>
      <x:c r="D59" s="64" t="n">
        <x:v>4</x:v>
      </x:c>
      <x:c r="E59" s="29" t="str">
        <x:v>Choose a response you can safely carry out. A boundary is not a threat designed to control another person.</x:v>
      </x:c>
      <x:c r="F59" s="29" t="str">
        <x:v>Slide 4 of 6. Choose a response you can safely carry out. A boundary is not a threat designed to control another person.</x:v>
      </x:c>
      <x:c r="G59" s="29" t="str">
        <x:v>contrast</x:v>
      </x:c>
      <x:c r="H59" s="29" t="str">
        <x:v>Draft — owner review</x:v>
      </x:c>
    </x:row>
    <x:row r="60" ht="84" customHeight="1">
      <x:c r="A60" s="29" t="str">
        <x:v>BTB-010</x:v>
      </x:c>
      <x:c r="B60" s="62" t="n">
        <x:v>46332</x:v>
      </x:c>
      <x:c r="C60" s="64" t="str">
        <x:v>P4</x:v>
      </x:c>
      <x:c r="D60" s="64" t="n">
        <x:v>5</x:v>
      </x:c>
      <x:c r="E60" s="29" t="str">
        <x:v>In situations involving abuse or coercion, get specialist safety guidance rather than relying on this script.</x:v>
      </x:c>
      <x:c r="F60" s="29" t="str">
        <x:v>Slide 5 of 6. In situations involving abuse or coercion, get specialist safety guidance rather than relying on this script.</x:v>
      </x:c>
      <x:c r="G60" s="29" t="str">
        <x:v>contrast</x:v>
      </x:c>
      <x:c r="H60" s="29" t="str">
        <x:v>Draft — owner review</x:v>
      </x:c>
    </x:row>
    <x:row r="61" ht="84" customHeight="1">
      <x:c r="A61" s="29" t="str">
        <x:v>BTB-010</x:v>
      </x:c>
      <x:c r="B61" s="62" t="n">
        <x:v>46332</x:v>
      </x:c>
      <x:c r="C61" s="64" t="str">
        <x:v>P4</x:v>
      </x:c>
      <x:c r="D61" s="64" t="n">
        <x:v>6</x:v>
      </x:c>
      <x:c r="E61" s="29" t="str">
        <x:v>Save this distinction: name the behaviour, name your limit, choose your next action.</x:v>
      </x:c>
      <x:c r="F61" s="29" t="str">
        <x:v>Slide 6 of 6. Save this distinction: name the behaviour, name your limit, choose your next action.</x:v>
      </x:c>
      <x:c r="G61" s="29" t="str">
        <x:v>contrast</x:v>
      </x:c>
      <x:c r="H61" s="29" t="str">
        <x:v>Draft — owner review</x:v>
      </x:c>
    </x:row>
    <x:row r="62" ht="84" customHeight="1">
      <x:c r="A62" s="29" t="str">
        <x:v>BTB-011</x:v>
      </x:c>
      <x:c r="B62" s="62" t="n">
        <x:v>46333</x:v>
      </x:c>
      <x:c r="C62" s="64" t="str">
        <x:v>P1</x:v>
      </x:c>
      <x:c r="D62" s="64" t="n">
        <x:v>1</x:v>
      </x:c>
      <x:c r="E62" s="29" t="str">
        <x:v>“I should be over this” is not a useful deadline.</x:v>
      </x:c>
      <x:c r="F62" s="29" t="str">
        <x:v>Slide 1 of 6. “I should be over this” is not a useful deadline.</x:v>
      </x:c>
      <x:c r="G62" s="29" t="str">
        <x:v>contrast</x:v>
      </x:c>
      <x:c r="H62" s="29" t="str">
        <x:v>Draft — owner review</x:v>
      </x:c>
    </x:row>
    <x:row r="63" ht="84" customHeight="1">
      <x:c r="A63" s="29" t="str">
        <x:v>BTB-011</x:v>
      </x:c>
      <x:c r="B63" s="62" t="n">
        <x:v>46333</x:v>
      </x:c>
      <x:c r="C63" s="64" t="str">
        <x:v>P1</x:v>
      </x:c>
      <x:c r="D63" s="64" t="n">
        <x:v>2</x:v>
      </x:c>
      <x:c r="E63" s="29" t="str">
        <x:v>It measures today against an imagined version of you who has already finished rebuilding.</x:v>
      </x:c>
      <x:c r="F63" s="29" t="str">
        <x:v>Slide 2 of 6. It measures today against an imagined version of you who has already finished rebuilding.</x:v>
      </x:c>
      <x:c r="G63" s="29" t="str">
        <x:v>contrast</x:v>
      </x:c>
      <x:c r="H63" s="29" t="str">
        <x:v>Draft — owner review</x:v>
      </x:c>
    </x:row>
    <x:row r="64" ht="84" customHeight="1">
      <x:c r="A64" s="29" t="str">
        <x:v>BTB-011</x:v>
      </x:c>
      <x:c r="B64" s="62" t="n">
        <x:v>46333</x:v>
      </x:c>
      <x:c r="C64" s="64" t="str">
        <x:v>P1</x:v>
      </x:c>
      <x:c r="D64" s="64" t="n">
        <x:v>3</x:v>
      </x:c>
      <x:c r="E64" s="29" t="str">
        <x:v>Ask a different question: what is still difficult, and what support or change might help with that part?</x:v>
      </x:c>
      <x:c r="F64" s="29" t="str">
        <x:v>Slide 3 of 6. Ask a different question: what is still difficult, and what support or change might help with that part?</x:v>
      </x:c>
      <x:c r="G64" s="29" t="str">
        <x:v>contrast</x:v>
      </x:c>
      <x:c r="H64" s="29" t="str">
        <x:v>Draft — owner review</x:v>
      </x:c>
    </x:row>
    <x:row r="65" ht="84" customHeight="1">
      <x:c r="A65" s="29" t="str">
        <x:v>BTB-011</x:v>
      </x:c>
      <x:c r="B65" s="62" t="n">
        <x:v>46333</x:v>
      </x:c>
      <x:c r="C65" s="64" t="str">
        <x:v>P1</x:v>
      </x:c>
      <x:c r="D65" s="64" t="n">
        <x:v>4</x:v>
      </x:c>
      <x:c r="E65" s="29" t="str">
        <x:v>Be specific. A quiet house, a difficult message, and a money decision may need different responses.</x:v>
      </x:c>
      <x:c r="F65" s="29" t="str">
        <x:v>Slide 4 of 6. Be specific. A quiet house, a difficult message, and a money decision may need different responses.</x:v>
      </x:c>
      <x:c r="G65" s="29" t="str">
        <x:v>contrast</x:v>
      </x:c>
      <x:c r="H65" s="29" t="str">
        <x:v>Draft — owner review</x:v>
      </x:c>
    </x:row>
    <x:row r="66" ht="84" customHeight="1">
      <x:c r="A66" s="29" t="str">
        <x:v>BTB-011</x:v>
      </x:c>
      <x:c r="B66" s="62" t="n">
        <x:v>46333</x:v>
      </x:c>
      <x:c r="C66" s="64" t="str">
        <x:v>P1</x:v>
      </x:c>
      <x:c r="D66" s="64" t="n">
        <x:v>5</x:v>
      </x:c>
      <x:c r="E66" s="29" t="str">
        <x:v>You do not have to call every difficult day a failure. You also do not have to face persistent distress without help.</x:v>
      </x:c>
      <x:c r="F66" s="29" t="str">
        <x:v>Slide 5 of 6. You do not have to call every difficult day a failure. You also do not have to face persistent distress without help.</x:v>
      </x:c>
      <x:c r="G66" s="29" t="str">
        <x:v>contrast</x:v>
      </x:c>
      <x:c r="H66" s="29" t="str">
        <x:v>Draft — owner review</x:v>
      </x:c>
    </x:row>
    <x:row r="67" ht="84" customHeight="1">
      <x:c r="A67" s="29" t="str">
        <x:v>BTB-011</x:v>
      </x:c>
      <x:c r="B67" s="62" t="n">
        <x:v>46333</x:v>
      </x:c>
      <x:c r="C67" s="64" t="str">
        <x:v>P1</x:v>
      </x:c>
      <x:c r="D67" s="64" t="n">
        <x:v>6</x:v>
      </x:c>
      <x:c r="E67" s="29" t="str">
        <x:v>Share this with someone who is treating recovery like an overdue assignment.</x:v>
      </x:c>
      <x:c r="F67" s="29" t="str">
        <x:v>Slide 6 of 6. Share this with someone who is treating recovery like an overdue assignment.</x:v>
      </x:c>
      <x:c r="G67" s="29" t="str">
        <x:v>contrast</x:v>
      </x:c>
      <x:c r="H67" s="29" t="str">
        <x:v>Draft — owner review</x:v>
      </x:c>
    </x:row>
    <x:row r="68" ht="84" customHeight="1">
      <x:c r="A68" s="29" t="str">
        <x:v>BTB-012</x:v>
      </x:c>
      <x:c r="B68" s="62" t="n">
        <x:v>46334</x:v>
      </x:c>
      <x:c r="C68" s="64" t="str">
        <x:v>P2</x:v>
      </x:c>
      <x:c r="D68" s="64" t="n">
        <x:v>1</x:v>
      </x:c>
      <x:c r="E68" s="29" t="str">
        <x:v>Before rereading the message for the tenth time, try this.</x:v>
      </x:c>
      <x:c r="F68" s="29" t="str">
        <x:v>Slide 1 of 6. Before rereading the message for the tenth time, try this.</x:v>
      </x:c>
      <x:c r="G68" s="29" t="str">
        <x:v>checklist</x:v>
      </x:c>
      <x:c r="H68" s="29" t="str">
        <x:v>Draft — owner review</x:v>
      </x:c>
    </x:row>
    <x:row r="69" ht="84" customHeight="1">
      <x:c r="A69" s="29" t="str">
        <x:v>BTB-012</x:v>
      </x:c>
      <x:c r="B69" s="62" t="n">
        <x:v>46334</x:v>
      </x:c>
      <x:c r="C69" s="64" t="str">
        <x:v>P2</x:v>
      </x:c>
      <x:c r="D69" s="64" t="n">
        <x:v>2</x:v>
      </x:c>
      <x:c r="E69" s="29" t="str">
        <x:v>Put three headings on a page: what it says; what I assume; what actually needs a response.</x:v>
      </x:c>
      <x:c r="F69" s="29" t="str">
        <x:v>Slide 2 of 6. Put three headings on a page: what it says; what I assume; what actually needs a response.</x:v>
      </x:c>
      <x:c r="G69" s="29" t="str">
        <x:v>checklist</x:v>
      </x:c>
      <x:c r="H69" s="29" t="str">
        <x:v>Draft — owner review</x:v>
      </x:c>
    </x:row>
    <x:row r="70" ht="84" customHeight="1">
      <x:c r="A70" s="29" t="str">
        <x:v>BTB-012</x:v>
      </x:c>
      <x:c r="B70" s="62" t="n">
        <x:v>46334</x:v>
      </x:c>
      <x:c r="C70" s="64" t="str">
        <x:v>P2</x:v>
      </x:c>
      <x:c r="D70" s="64" t="n">
        <x:v>3</x:v>
      </x:c>
      <x:c r="E70" s="29" t="str">
        <x:v>Keep the first column to words you can point to. Do not add the other person's motives.</x:v>
      </x:c>
      <x:c r="F70" s="29" t="str">
        <x:v>Slide 3 of 6. Keep the first column to words you can point to. Do not add the other person's motives.</x:v>
      </x:c>
      <x:c r="G70" s="29" t="str">
        <x:v>checklist</x:v>
      </x:c>
      <x:c r="H70" s="29" t="str">
        <x:v>Draft — owner review</x:v>
      </x:c>
    </x:row>
    <x:row r="71" ht="84" customHeight="1">
      <x:c r="A71" s="29" t="str">
        <x:v>BTB-012</x:v>
      </x:c>
      <x:c r="B71" s="62" t="n">
        <x:v>46334</x:v>
      </x:c>
      <x:c r="C71" s="64" t="str">
        <x:v>P2</x:v>
      </x:c>
      <x:c r="D71" s="64" t="n">
        <x:v>4</x:v>
      </x:c>
      <x:c r="E71" s="29" t="str">
        <x:v>Put uncertainty in the second column, where it belongs. You do not need to solve every possible interpretation.</x:v>
      </x:c>
      <x:c r="F71" s="29" t="str">
        <x:v>Slide 4 of 6. Put uncertainty in the second column, where it belongs. You do not need to solve every possible interpretation.</x:v>
      </x:c>
      <x:c r="G71" s="29" t="str">
        <x:v>checklist</x:v>
      </x:c>
      <x:c r="H71" s="29" t="str">
        <x:v>Draft — owner review</x:v>
      </x:c>
    </x:row>
    <x:row r="72" ht="84" customHeight="1">
      <x:c r="A72" s="29" t="str">
        <x:v>BTB-012</x:v>
      </x:c>
      <x:c r="B72" s="62" t="n">
        <x:v>46334</x:v>
      </x:c>
      <x:c r="C72" s="64" t="str">
        <x:v>P2</x:v>
      </x:c>
      <x:c r="D72" s="64" t="n">
        <x:v>5</x:v>
      </x:c>
      <x:c r="E72" s="29" t="str">
        <x:v>Respond to the practical question when required and appropriate. Urgent safety or legal matters need timely, qualified support.</x:v>
      </x:c>
      <x:c r="F72" s="29" t="str">
        <x:v>Slide 5 of 6. Respond to the practical question when required and appropriate. Urgent safety or legal matters need timely, qualified support.</x:v>
      </x:c>
      <x:c r="G72" s="29" t="str">
        <x:v>checklist</x:v>
      </x:c>
      <x:c r="H72" s="29" t="str">
        <x:v>Draft — owner review</x:v>
      </x:c>
    </x:row>
    <x:row r="73" ht="84" customHeight="1">
      <x:c r="A73" s="29" t="str">
        <x:v>BTB-012</x:v>
      </x:c>
      <x:c r="B73" s="62" t="n">
        <x:v>46334</x:v>
      </x:c>
      <x:c r="C73" s="64" t="str">
        <x:v>P2</x:v>
      </x:c>
      <x:c r="D73" s="64" t="n">
        <x:v>6</x:v>
      </x:c>
      <x:c r="E73" s="29" t="str">
        <x:v>Save the three-column check for a message that keeps taking over your attention.</x:v>
      </x:c>
      <x:c r="F73" s="29" t="str">
        <x:v>Slide 6 of 6. Save the three-column check for a message that keeps taking over your attention.</x:v>
      </x:c>
      <x:c r="G73" s="29" t="str">
        <x:v>checklist</x:v>
      </x:c>
      <x:c r="H73" s="29" t="str">
        <x:v>Draft — owner review</x:v>
      </x:c>
    </x:row>
    <x:row r="74" ht="84" customHeight="1">
      <x:c r="A74" s="29" t="str">
        <x:v>BTB-013</x:v>
      </x:c>
      <x:c r="B74" s="62" t="n">
        <x:v>46335</x:v>
      </x:c>
      <x:c r="C74" s="64" t="str">
        <x:v>P5</x:v>
      </x:c>
      <x:c r="D74" s="64" t="n">
        <x:v>1</x:v>
      </x:c>
      <x:c r="E74" s="29" t="str">
        <x:v>Build a difficult-day plan before the next difficult day.</x:v>
      </x:c>
      <x:c r="F74" s="29" t="str">
        <x:v>Slide 1 of 6. Build a difficult-day plan before the next difficult day.</x:v>
      </x:c>
      <x:c r="G74" s="29" t="str">
        <x:v>checklist</x:v>
      </x:c>
      <x:c r="H74" s="29" t="str">
        <x:v>Draft — owner review</x:v>
      </x:c>
    </x:row>
    <x:row r="75" ht="84" customHeight="1">
      <x:c r="A75" s="29" t="str">
        <x:v>BTB-013</x:v>
      </x:c>
      <x:c r="B75" s="62" t="n">
        <x:v>46335</x:v>
      </x:c>
      <x:c r="C75" s="64" t="str">
        <x:v>P5</x:v>
      </x:c>
      <x:c r="D75" s="64" t="n">
        <x:v>2</x:v>
      </x:c>
      <x:c r="E75" s="29" t="str">
        <x:v>A plan made when you have some space can be simpler than improvising when everything feels urgent.</x:v>
      </x:c>
      <x:c r="F75" s="29" t="str">
        <x:v>Slide 2 of 6. A plan made when you have some space can be simpler than improvising when everything feels urgent.</x:v>
      </x:c>
      <x:c r="G75" s="29" t="str">
        <x:v>checklist</x:v>
      </x:c>
      <x:c r="H75" s="29" t="str">
        <x:v>Draft — owner review</x:v>
      </x:c>
    </x:row>
    <x:row r="76" ht="84" customHeight="1">
      <x:c r="A76" s="29" t="str">
        <x:v>BTB-013</x:v>
      </x:c>
      <x:c r="B76" s="62" t="n">
        <x:v>46335</x:v>
      </x:c>
      <x:c r="C76" s="64" t="str">
        <x:v>P5</x:v>
      </x:c>
      <x:c r="D76" s="64" t="n">
        <x:v>3</x:v>
      </x:c>
      <x:c r="E76" s="29" t="str">
        <x:v>Write down one easy meal, one essential responsibility, and one person or service you can contact.</x:v>
      </x:c>
      <x:c r="F76" s="29" t="str">
        <x:v>Slide 3 of 6. Write down one easy meal, one essential responsibility, and one person or service you can contact.</x:v>
      </x:c>
      <x:c r="G76" s="29" t="str">
        <x:v>checklist</x:v>
      </x:c>
      <x:c r="H76" s="29" t="str">
        <x:v>Draft — owner review</x:v>
      </x:c>
    </x:row>
    <x:row r="77" ht="84" customHeight="1">
      <x:c r="A77" s="29" t="str">
        <x:v>BTB-013</x:v>
      </x:c>
      <x:c r="B77" s="62" t="n">
        <x:v>46335</x:v>
      </x:c>
      <x:c r="C77" s="64" t="str">
        <x:v>P5</x:v>
      </x:c>
      <x:c r="D77" s="64" t="n">
        <x:v>4</x:v>
      </x:c>
      <x:c r="E77" s="29" t="str">
        <x:v>Add the practical things you tend to forget: a charger, a key, a document, or tomorrow's start time.</x:v>
      </x:c>
      <x:c r="F77" s="29" t="str">
        <x:v>Slide 4 of 6. Add the practical things you tend to forget: a charger, a key, a document, or tomorrow's start time.</x:v>
      </x:c>
      <x:c r="G77" s="29" t="str">
        <x:v>checklist</x:v>
      </x:c>
      <x:c r="H77" s="29" t="str">
        <x:v>Draft — owner review</x:v>
      </x:c>
    </x:row>
    <x:row r="78" ht="84" customHeight="1">
      <x:c r="A78" s="29" t="str">
        <x:v>BTB-013</x:v>
      </x:c>
      <x:c r="B78" s="62" t="n">
        <x:v>46335</x:v>
      </x:c>
      <x:c r="C78" s="64" t="str">
        <x:v>P5</x:v>
      </x:c>
      <x:c r="D78" s="64" t="n">
        <x:v>5</x:v>
      </x:c>
      <x:c r="E78" s="29" t="str">
        <x:v>Keep the plan short enough to use. It is backup, not another standard you must meet perfectly.</x:v>
      </x:c>
      <x:c r="F78" s="29" t="str">
        <x:v>Slide 5 of 6. Keep the plan short enough to use. It is backup, not another standard you must meet perfectly.</x:v>
      </x:c>
      <x:c r="G78" s="29" t="str">
        <x:v>checklist</x:v>
      </x:c>
      <x:c r="H78" s="29" t="str">
        <x:v>Draft — owner review</x:v>
      </x:c>
    </x:row>
    <x:row r="79" ht="84" customHeight="1">
      <x:c r="A79" s="29" t="str">
        <x:v>BTB-013</x:v>
      </x:c>
      <x:c r="B79" s="62" t="n">
        <x:v>46335</x:v>
      </x:c>
      <x:c r="C79" s="64" t="str">
        <x:v>P5</x:v>
      </x:c>
      <x:c r="D79" s="64" t="n">
        <x:v>6</x:v>
      </x:c>
      <x:c r="E79" s="29" t="str">
        <x:v>Save this and make your own version on a steadier afternoon.</x:v>
      </x:c>
      <x:c r="F79" s="29" t="str">
        <x:v>Slide 6 of 6. Save this and make your own version on a steadier afternoon.</x:v>
      </x:c>
      <x:c r="G79" s="29" t="str">
        <x:v>checklist</x:v>
      </x:c>
      <x:c r="H79" s="29" t="str">
        <x:v>Draft — owner review</x:v>
      </x:c>
    </x:row>
    <x:row r="80" ht="84" customHeight="1">
      <x:c r="A80" s="29" t="str">
        <x:v>BTB-014</x:v>
      </x:c>
      <x:c r="B80" s="62" t="n">
        <x:v>46336</x:v>
      </x:c>
      <x:c r="C80" s="64" t="str">
        <x:v>P6</x:v>
      </x:c>
      <x:c r="D80" s="64" t="n">
        <x:v>1</x:v>
      </x:c>
      <x:c r="E80" s="29" t="str">
        <x:v>I am not building this page from a finished life.</x:v>
      </x:c>
      <x:c r="F80" s="29" t="str">
        <x:v>Slide 1 of 6. I am not building this page from a finished life.</x:v>
      </x:c>
      <x:c r="G80" s="29" t="str">
        <x:v>letter</x:v>
      </x:c>
      <x:c r="H80" s="29" t="str">
        <x:v>Draft — owner review</x:v>
      </x:c>
    </x:row>
    <x:row r="81" ht="84" customHeight="1">
      <x:c r="A81" s="29" t="str">
        <x:v>BTB-014</x:v>
      </x:c>
      <x:c r="B81" s="62" t="n">
        <x:v>46336</x:v>
      </x:c>
      <x:c r="C81" s="64" t="str">
        <x:v>P6</x:v>
      </x:c>
      <x:c r="D81" s="64" t="n">
        <x:v>2</x:v>
      </x:c>
      <x:c r="E81" s="29" t="str">
        <x:v>Separation, parenting responsibilities, and rebuilding are part of the experience behind Broken to Balanced.</x:v>
      </x:c>
      <x:c r="F81" s="29" t="str">
        <x:v>Slide 2 of 6. Separation, parenting responsibilities, and rebuilding are part of the experience behind Broken to Balanced.</x:v>
      </x:c>
      <x:c r="G81" s="29" t="str">
        <x:v>letter</x:v>
      </x:c>
      <x:c r="H81" s="29" t="str">
        <x:v>Draft — owner review</x:v>
      </x:c>
    </x:row>
    <x:row r="82" ht="84" customHeight="1">
      <x:c r="A82" s="29" t="str">
        <x:v>BTB-014</x:v>
      </x:c>
      <x:c r="B82" s="62" t="n">
        <x:v>46336</x:v>
      </x:c>
      <x:c r="C82" s="64" t="str">
        <x:v>P6</x:v>
      </x:c>
      <x:c r="D82" s="64" t="n">
        <x:v>3</x:v>
      </x:c>
      <x:c r="E82" s="29" t="str">
        <x:v>I do not want to turn that experience into a perfect comeback story.</x:v>
      </x:c>
      <x:c r="F82" s="29" t="str">
        <x:v>Slide 3 of 6. I do not want to turn that experience into a perfect comeback story.</x:v>
      </x:c>
      <x:c r="G82" s="29" t="str">
        <x:v>letter</x:v>
      </x:c>
      <x:c r="H82" s="29" t="str">
        <x:v>Draft — owner review</x:v>
      </x:c>
    </x:row>
    <x:row r="83" ht="84" customHeight="1">
      <x:c r="A83" s="29" t="str">
        <x:v>BTB-014</x:v>
      </x:c>
      <x:c r="B83" s="62" t="n">
        <x:v>46336</x:v>
      </x:c>
      <x:c r="C83" s="64" t="str">
        <x:v>P6</x:v>
      </x:c>
      <x:c r="D83" s="64" t="n">
        <x:v>4</x:v>
      </x:c>
      <x:c r="E83" s="29" t="str">
        <x:v>This page will make room for difficult days, practical decisions, and things that are still being worked out.</x:v>
      </x:c>
      <x:c r="F83" s="29" t="str">
        <x:v>Slide 4 of 6. This page will make room for difficult days, practical decisions, and things that are still being worked out.</x:v>
      </x:c>
      <x:c r="G83" s="29" t="str">
        <x:v>letter</x:v>
      </x:c>
      <x:c r="H83" s="29" t="str">
        <x:v>Draft — owner review</x:v>
      </x:c>
    </x:row>
    <x:row r="84" ht="84" customHeight="1">
      <x:c r="A84" s="29" t="str">
        <x:v>BTB-014</x:v>
      </x:c>
      <x:c r="B84" s="62" t="n">
        <x:v>46336</x:v>
      </x:c>
      <x:c r="C84" s="64" t="str">
        <x:v>P6</x:v>
      </x:c>
      <x:c r="D84" s="64" t="n">
        <x:v>5</x:v>
      </x:c>
      <x:c r="E84" s="29" t="str">
        <x:v>My private relationships and my children's lives are not material for public judgment.</x:v>
      </x:c>
      <x:c r="F84" s="29" t="str">
        <x:v>Slide 5 of 6. My private relationships and my children's lives are not material for public judgment.</x:v>
      </x:c>
      <x:c r="G84" s="29" t="str">
        <x:v>letter</x:v>
      </x:c>
      <x:c r="H84" s="29" t="str">
        <x:v>Draft — owner review</x:v>
      </x:c>
    </x:row>
    <x:row r="85" ht="84" customHeight="1">
      <x:c r="A85" s="29" t="str">
        <x:v>BTB-014</x:v>
      </x:c>
      <x:c r="B85" s="62" t="n">
        <x:v>46336</x:v>
      </x:c>
      <x:c r="C85" s="64" t="str">
        <x:v>P6</x:v>
      </x:c>
      <x:c r="D85" s="64" t="n">
        <x:v>6</x:v>
      </x:c>
      <x:c r="E85" s="29" t="str">
        <x:v>Follow for honest rebuilding, not a performance of having everything solved.</x:v>
      </x:c>
      <x:c r="F85" s="29" t="str">
        <x:v>Slide 6 of 6. Follow for honest rebuilding, not a performance of having everything solved.</x:v>
      </x:c>
      <x:c r="G85" s="29" t="str">
        <x:v>letter</x:v>
      </x:c>
      <x:c r="H85" s="29" t="str">
        <x:v>Draft — owner review</x:v>
      </x:c>
    </x:row>
    <x:row r="86" ht="84" customHeight="1">
      <x:c r="A86" s="29" t="str">
        <x:v>BTB-015</x:v>
      </x:c>
      <x:c r="B86" s="62" t="n">
        <x:v>46337</x:v>
      </x:c>
      <x:c r="C86" s="64" t="str">
        <x:v>P3</x:v>
      </x:c>
      <x:c r="D86" s="64" t="n">
        <x:v>1</x:v>
      </x:c>
      <x:c r="E86" s="29" t="str">
        <x:v>After a tense exchange, your child still needs an ordinary evening.</x:v>
      </x:c>
      <x:c r="F86" s="29" t="str">
        <x:v>Slide 1 of 6. After a tense exchange, your child still needs an ordinary evening.</x:v>
      </x:c>
      <x:c r="G86" s="29" t="str">
        <x:v>script</x:v>
      </x:c>
      <x:c r="H86" s="29" t="str">
        <x:v>Draft — owner review</x:v>
      </x:c>
    </x:row>
    <x:row r="87" ht="84" customHeight="1">
      <x:c r="A87" s="29" t="str">
        <x:v>BTB-015</x:v>
      </x:c>
      <x:c r="B87" s="62" t="n">
        <x:v>46337</x:v>
      </x:c>
      <x:c r="C87" s="64" t="str">
        <x:v>P3</x:v>
      </x:c>
      <x:c r="D87" s="64" t="n">
        <x:v>2</x:v>
      </x:c>
      <x:c r="E87" s="29" t="str">
        <x:v>You may want to explain your side. They may simply want a snack, help with homework, or familiar company.</x:v>
      </x:c>
      <x:c r="F87" s="29" t="str">
        <x:v>Slide 2 of 6. You may want to explain your side. They may simply want a snack, help with homework, or familiar company.</x:v>
      </x:c>
      <x:c r="G87" s="29" t="str">
        <x:v>script</x:v>
      </x:c>
      <x:c r="H87" s="29" t="str">
        <x:v>Draft — owner review</x:v>
      </x:c>
    </x:row>
    <x:row r="88" ht="84" customHeight="1">
      <x:c r="A88" s="29" t="str">
        <x:v>BTB-015</x:v>
      </x:c>
      <x:c r="B88" s="62" t="n">
        <x:v>46337</x:v>
      </x:c>
      <x:c r="C88" s="64" t="str">
        <x:v>P3</x:v>
      </x:c>
      <x:c r="D88" s="64" t="n">
        <x:v>3</x:v>
      </x:c>
      <x:c r="E88" s="29" t="str">
        <x:v>Start with what is needed now rather than a recap of the adult disagreement.</x:v>
      </x:c>
      <x:c r="F88" s="29" t="str">
        <x:v>Slide 3 of 6. Start with what is needed now rather than a recap of the adult disagreement.</x:v>
      </x:c>
      <x:c r="G88" s="29" t="str">
        <x:v>script</x:v>
      </x:c>
      <x:c r="H88" s="29" t="str">
        <x:v>Draft — owner review</x:v>
      </x:c>
    </x:row>
    <x:row r="89" ht="84" customHeight="1">
      <x:c r="A89" s="29" t="str">
        <x:v>BTB-015</x:v>
      </x:c>
      <x:c r="B89" s="62" t="n">
        <x:v>46337</x:v>
      </x:c>
      <x:c r="C89" s="64" t="str">
        <x:v>P3</x:v>
      </x:c>
      <x:c r="D89" s="64" t="n">
        <x:v>4</x:v>
      </x:c>
      <x:c r="E89" s="29" t="str">
        <x:v>Try: “That was a difficult moment. It isn't your job to sort it out. Let's get settled.”</x:v>
      </x:c>
      <x:c r="F89" s="29" t="str">
        <x:v>Slide 4 of 6. Try: “That was a difficult moment. It isn't your job to sort it out. Let's get settled.”</x:v>
      </x:c>
      <x:c r="G89" s="29" t="str">
        <x:v>script</x:v>
      </x:c>
      <x:c r="H89" s="29" t="str">
        <x:v>Draft — owner review</x:v>
      </x:c>
    </x:row>
    <x:row r="90" ht="84" customHeight="1">
      <x:c r="A90" s="29" t="str">
        <x:v>BTB-015</x:v>
      </x:c>
      <x:c r="B90" s="62" t="n">
        <x:v>46337</x:v>
      </x:c>
      <x:c r="C90" s="64" t="str">
        <x:v>P3</x:v>
      </x:c>
      <x:c r="D90" s="64" t="n">
        <x:v>5</x:v>
      </x:c>
      <x:c r="E90" s="29" t="str">
        <x:v>Speak with an appropriate adult about your own feelings. Get qualified help when there are safety concerns.</x:v>
      </x:c>
      <x:c r="F90" s="29" t="str">
        <x:v>Slide 5 of 6. Speak with an appropriate adult about your own feelings. Get qualified help when there are safety concerns.</x:v>
      </x:c>
      <x:c r="G90" s="29" t="str">
        <x:v>script</x:v>
      </x:c>
      <x:c r="H90" s="29" t="str">
        <x:v>Draft — owner review</x:v>
      </x:c>
    </x:row>
    <x:row r="91" ht="84" customHeight="1">
      <x:c r="A91" s="29" t="str">
        <x:v>BTB-015</x:v>
      </x:c>
      <x:c r="B91" s="62" t="n">
        <x:v>46337</x:v>
      </x:c>
      <x:c r="C91" s="64" t="str">
        <x:v>P3</x:v>
      </x:c>
      <x:c r="D91" s="64" t="n">
        <x:v>6</x:v>
      </x:c>
      <x:c r="E91" s="29" t="str">
        <x:v>Save this for the moment you need to return your attention to the child in front of you.</x:v>
      </x:c>
      <x:c r="F91" s="29" t="str">
        <x:v>Slide 6 of 6. Save this for the moment you need to return your attention to the child in front of you.</x:v>
      </x:c>
      <x:c r="G91" s="29" t="str">
        <x:v>script</x:v>
      </x:c>
      <x:c r="H91" s="29" t="str">
        <x:v>Draft — owner review</x:v>
      </x:c>
    </x:row>
    <x:row r="92" ht="84" customHeight="1">
      <x:c r="A92" s="29" t="str">
        <x:v>BTB-016</x:v>
      </x:c>
      <x:c r="B92" s="62" t="n">
        <x:v>46338</x:v>
      </x:c>
      <x:c r="C92" s="64" t="str">
        <x:v>P4</x:v>
      </x:c>
      <x:c r="D92" s="64" t="n">
        <x:v>1</x:v>
      </x:c>
      <x:c r="E92" s="29" t="str">
        <x:v>An apology matters. What happens afterwards matters too.</x:v>
      </x:c>
      <x:c r="F92" s="29" t="str">
        <x:v>Slide 1 of 6. An apology matters. What happens afterwards matters too.</x:v>
      </x:c>
      <x:c r="G92" s="29" t="str">
        <x:v>editorial</x:v>
      </x:c>
      <x:c r="H92" s="29" t="str">
        <x:v>Draft — owner review</x:v>
      </x:c>
    </x:row>
    <x:row r="93" ht="84" customHeight="1">
      <x:c r="A93" s="29" t="str">
        <x:v>BTB-016</x:v>
      </x:c>
      <x:c r="B93" s="62" t="n">
        <x:v>46338</x:v>
      </x:c>
      <x:c r="C93" s="64" t="str">
        <x:v>P4</x:v>
      </x:c>
      <x:c r="D93" s="64" t="n">
        <x:v>2</x:v>
      </x:c>
      <x:c r="E93" s="29" t="str">
        <x:v>Hearing the right words can bring relief. It does not answer every question about what comes next.</x:v>
      </x:c>
      <x:c r="F93" s="29" t="str">
        <x:v>Slide 2 of 6. Hearing the right words can bring relief. It does not answer every question about what comes next.</x:v>
      </x:c>
      <x:c r="G93" s="29" t="str">
        <x:v>editorial</x:v>
      </x:c>
      <x:c r="H93" s="29" t="str">
        <x:v>Draft — owner review</x:v>
      </x:c>
    </x:row>
    <x:row r="94" ht="84" customHeight="1">
      <x:c r="A94" s="29" t="str">
        <x:v>BTB-016</x:v>
      </x:c>
      <x:c r="B94" s="62" t="n">
        <x:v>46338</x:v>
      </x:c>
      <x:c r="C94" s="64" t="str">
        <x:v>P4</x:v>
      </x:c>
      <x:c r="D94" s="64" t="n">
        <x:v>3</x:v>
      </x:c>
      <x:c r="E94" s="29" t="str">
        <x:v>Look for a clear understanding of the behaviour, a realistic change, and respect for your response.</x:v>
      </x:c>
      <x:c r="F94" s="29" t="str">
        <x:v>Slide 3 of 6. Look for a clear understanding of the behaviour, a realistic change, and respect for your response.</x:v>
      </x:c>
      <x:c r="G94" s="29" t="str">
        <x:v>editorial</x:v>
      </x:c>
      <x:c r="H94" s="29" t="str">
        <x:v>Draft — owner review</x:v>
      </x:c>
    </x:row>
    <x:row r="95" ht="84" customHeight="1">
      <x:c r="A95" s="29" t="str">
        <x:v>BTB-016</x:v>
      </x:c>
      <x:c r="B95" s="62" t="n">
        <x:v>46338</x:v>
      </x:c>
      <x:c r="C95" s="64" t="str">
        <x:v>P4</x:v>
      </x:c>
      <x:c r="D95" s="64" t="n">
        <x:v>4</x:v>
      </x:c>
      <x:c r="E95" s="29" t="str">
        <x:v>You do not owe instant trust because someone has apologised. You can acknowledge the words and take time.</x:v>
      </x:c>
      <x:c r="F95" s="29" t="str">
        <x:v>Slide 4 of 6. You do not owe instant trust because someone has apologised. You can acknowledge the words and take time.</x:v>
      </x:c>
      <x:c r="G95" s="29" t="str">
        <x:v>editorial</x:v>
      </x:c>
      <x:c r="H95" s="29" t="str">
        <x:v>Draft — owner review</x:v>
      </x:c>
    </x:row>
    <x:row r="96" ht="84" customHeight="1">
      <x:c r="A96" s="29" t="str">
        <x:v>BTB-016</x:v>
      </x:c>
      <x:c r="B96" s="62" t="n">
        <x:v>46338</x:v>
      </x:c>
      <x:c r="C96" s="64" t="str">
        <x:v>P4</x:v>
      </x:c>
      <x:c r="D96" s="64" t="n">
        <x:v>5</x:v>
      </x:c>
      <x:c r="E96" s="29" t="str">
        <x:v>Ask yourself what you would need to observe, rather than what you hope the apology means.</x:v>
      </x:c>
      <x:c r="F96" s="29" t="str">
        <x:v>Slide 5 of 6. Ask yourself what you would need to observe, rather than what you hope the apology means.</x:v>
      </x:c>
      <x:c r="G96" s="29" t="str">
        <x:v>editorial</x:v>
      </x:c>
      <x:c r="H96" s="29" t="str">
        <x:v>Draft — owner review</x:v>
      </x:c>
    </x:row>
    <x:row r="97" ht="84" customHeight="1">
      <x:c r="A97" s="29" t="str">
        <x:v>BTB-016</x:v>
      </x:c>
      <x:c r="B97" s="62" t="n">
        <x:v>46338</x:v>
      </x:c>
      <x:c r="C97" s="64" t="str">
        <x:v>P4</x:v>
      </x:c>
      <x:c r="D97" s="64" t="n">
        <x:v>6</x:v>
      </x:c>
      <x:c r="E97" s="29" t="str">
        <x:v>Share this with someone trying to separate relief from a decision about trust.</x:v>
      </x:c>
      <x:c r="F97" s="29" t="str">
        <x:v>Slide 6 of 6. Share this with someone trying to separate relief from a decision about trust.</x:v>
      </x:c>
      <x:c r="G97" s="29" t="str">
        <x:v>editorial</x:v>
      </x:c>
      <x:c r="H97" s="29" t="str">
        <x:v>Draft — owner review</x:v>
      </x:c>
    </x:row>
    <x:row r="98" ht="84" customHeight="1">
      <x:c r="A98" s="29" t="str">
        <x:v>BTB-017</x:v>
      </x:c>
      <x:c r="B98" s="62" t="n">
        <x:v>46339</x:v>
      </x:c>
      <x:c r="C98" s="64" t="str">
        <x:v>P5</x:v>
      </x:c>
      <x:c r="D98" s="64" t="n">
        <x:v>1</x:v>
      </x:c>
      <x:c r="E98" s="29" t="str">
        <x:v>You can ask for clarity at work without explaining your divorce.</x:v>
      </x:c>
      <x:c r="F98" s="29" t="str">
        <x:v>Slide 1 of 6. You can ask for clarity at work without explaining your divorce.</x:v>
      </x:c>
      <x:c r="G98" s="29" t="str">
        <x:v>script</x:v>
      </x:c>
      <x:c r="H98" s="29" t="str">
        <x:v>Draft — owner review</x:v>
      </x:c>
    </x:row>
    <x:row r="99" ht="84" customHeight="1">
      <x:c r="A99" s="29" t="str">
        <x:v>BTB-017</x:v>
      </x:c>
      <x:c r="B99" s="62" t="n">
        <x:v>46339</x:v>
      </x:c>
      <x:c r="C99" s="64" t="str">
        <x:v>P5</x:v>
      </x:c>
      <x:c r="D99" s="64" t="n">
        <x:v>2</x:v>
      </x:c>
      <x:c r="E99" s="29" t="str">
        <x:v>A difficult private season does not require a detailed public account of it.</x:v>
      </x:c>
      <x:c r="F99" s="29" t="str">
        <x:v>Slide 2 of 6. A difficult private season does not require a detailed public account of it.</x:v>
      </x:c>
      <x:c r="G99" s="29" t="str">
        <x:v>script</x:v>
      </x:c>
      <x:c r="H99" s="29" t="str">
        <x:v>Draft — owner review</x:v>
      </x:c>
    </x:row>
    <x:row r="100" ht="84" customHeight="1">
      <x:c r="A100" s="29" t="str">
        <x:v>BTB-017</x:v>
      </x:c>
      <x:c r="B100" s="62" t="n">
        <x:v>46339</x:v>
      </x:c>
      <x:c r="C100" s="64" t="str">
        <x:v>P5</x:v>
      </x:c>
      <x:c r="D100" s="64" t="n">
        <x:v>3</x:v>
      </x:c>
      <x:c r="E100" s="29" t="str">
        <x:v>Try: “I have a personal matter to manage. Which two deliverables are the priorities this week?”</x:v>
      </x:c>
      <x:c r="F100" s="29" t="str">
        <x:v>Slide 3 of 6. Try: “I have a personal matter to manage. Which two deliverables are the priorities this week?”</x:v>
      </x:c>
      <x:c r="G100" s="29" t="str">
        <x:v>script</x:v>
      </x:c>
      <x:c r="H100" s="29" t="str">
        <x:v>Draft — owner review</x:v>
      </x:c>
    </x:row>
    <x:row r="101" ht="84" customHeight="1">
      <x:c r="A101" s="29" t="str">
        <x:v>BTB-017</x:v>
      </x:c>
      <x:c r="B101" s="62" t="n">
        <x:v>46339</x:v>
      </x:c>
      <x:c r="C101" s="64" t="str">
        <x:v>P5</x:v>
      </x:c>
      <x:c r="D101" s="64" t="n">
        <x:v>4</x:v>
      </x:c>
      <x:c r="E101" s="29" t="str">
        <x:v>Be honest about what you can deliver. Discuss specific adjustments through the appropriate workplace process when needed.</x:v>
      </x:c>
      <x:c r="F101" s="29" t="str">
        <x:v>Slide 4 of 6. Be honest about what you can deliver. Discuss specific adjustments through the appropriate workplace process when needed.</x:v>
      </x:c>
      <x:c r="G101" s="29" t="str">
        <x:v>script</x:v>
      </x:c>
      <x:c r="H101" s="29" t="str">
        <x:v>Draft — owner review</x:v>
      </x:c>
    </x:row>
    <x:row r="102" ht="84" customHeight="1">
      <x:c r="A102" s="29" t="str">
        <x:v>BTB-017</x:v>
      </x:c>
      <x:c r="B102" s="62" t="n">
        <x:v>46339</x:v>
      </x:c>
      <x:c r="C102" s="64" t="str">
        <x:v>P5</x:v>
      </x:c>
      <x:c r="D102" s="64" t="n">
        <x:v>5</x:v>
      </x:c>
      <x:c r="E102" s="29" t="str">
        <x:v>Share only the information necessary for the conversation. You can seek advice before disclosing something sensitive.</x:v>
      </x:c>
      <x:c r="F102" s="29" t="str">
        <x:v>Slide 5 of 6. Share only the information necessary for the conversation. You can seek advice before disclosing something sensitive.</x:v>
      </x:c>
      <x:c r="G102" s="29" t="str">
        <x:v>script</x:v>
      </x:c>
      <x:c r="H102" s="29" t="str">
        <x:v>Draft — owner review</x:v>
      </x:c>
    </x:row>
    <x:row r="103" ht="84" customHeight="1">
      <x:c r="A103" s="29" t="str">
        <x:v>BTB-017</x:v>
      </x:c>
      <x:c r="B103" s="62" t="n">
        <x:v>46339</x:v>
      </x:c>
      <x:c r="C103" s="64" t="str">
        <x:v>P5</x:v>
      </x:c>
      <x:c r="D103" s="64" t="n">
        <x:v>6</x:v>
      </x:c>
      <x:c r="E103" s="29" t="str">
        <x:v>Save the wording for a week when focus and responsibilities are competing.</x:v>
      </x:c>
      <x:c r="F103" s="29" t="str">
        <x:v>Slide 6 of 6. Save the wording for a week when focus and responsibilities are competing.</x:v>
      </x:c>
      <x:c r="G103" s="29" t="str">
        <x:v>script</x:v>
      </x:c>
      <x:c r="H103" s="29" t="str">
        <x:v>Draft — owner review</x:v>
      </x:c>
    </x:row>
    <x:row r="104" ht="84" customHeight="1">
      <x:c r="A104" s="29" t="str">
        <x:v>BTB-018</x:v>
      </x:c>
      <x:c r="B104" s="62" t="n">
        <x:v>46340</x:v>
      </x:c>
      <x:c r="C104" s="64" t="str">
        <x:v>P1</x:v>
      </x:c>
      <x:c r="D104" s="64" t="n">
        <x:v>1</x:v>
      </x:c>
      <x:c r="E104" s="29" t="str">
        <x:v>You are allowed to give a short answer to a personal question.</x:v>
      </x:c>
      <x:c r="F104" s="29" t="str">
        <x:v>Slide 1 of 6. You are allowed to give a short answer to a personal question.</x:v>
      </x:c>
      <x:c r="G104" s="29" t="str">
        <x:v>script</x:v>
      </x:c>
      <x:c r="H104" s="29" t="str">
        <x:v>Draft — owner review</x:v>
      </x:c>
    </x:row>
    <x:row r="105" ht="84" customHeight="1">
      <x:c r="A105" s="29" t="str">
        <x:v>BTB-018</x:v>
      </x:c>
      <x:c r="B105" s="62" t="n">
        <x:v>46340</x:v>
      </x:c>
      <x:c r="C105" s="64" t="str">
        <x:v>P1</x:v>
      </x:c>
      <x:c r="D105" s="64" t="n">
        <x:v>2</x:v>
      </x:c>
      <x:c r="E105" s="29" t="str">
        <x:v>Not everyone who asks “What happened?” needs the full story.</x:v>
      </x:c>
      <x:c r="F105" s="29" t="str">
        <x:v>Slide 2 of 6. Not everyone who asks “What happened?” needs the full story.</x:v>
      </x:c>
      <x:c r="G105" s="29" t="str">
        <x:v>script</x:v>
      </x:c>
      <x:c r="H105" s="29" t="str">
        <x:v>Draft — owner review</x:v>
      </x:c>
    </x:row>
    <x:row r="106" ht="84" customHeight="1">
      <x:c r="A106" s="29" t="str">
        <x:v>BTB-018</x:v>
      </x:c>
      <x:c r="B106" s="62" t="n">
        <x:v>46340</x:v>
      </x:c>
      <x:c r="C106" s="64" t="str">
        <x:v>P1</x:v>
      </x:c>
      <x:c r="D106" s="64" t="n">
        <x:v>3</x:v>
      </x:c>
      <x:c r="E106" s="29" t="str">
        <x:v>Try: “It's been a difficult change. I'm focusing on rebuilding, and I'm keeping the details private.”</x:v>
      </x:c>
      <x:c r="F106" s="29" t="str">
        <x:v>Slide 3 of 6. Try: “It's been a difficult change. I'm focusing on rebuilding, and I'm keeping the details private.”</x:v>
      </x:c>
      <x:c r="G106" s="29" t="str">
        <x:v>script</x:v>
      </x:c>
      <x:c r="H106" s="29" t="str">
        <x:v>Draft — owner review</x:v>
      </x:c>
    </x:row>
    <x:row r="107" ht="84" customHeight="1">
      <x:c r="A107" s="29" t="str">
        <x:v>BTB-018</x:v>
      </x:c>
      <x:c r="B107" s="62" t="n">
        <x:v>46340</x:v>
      </x:c>
      <x:c r="C107" s="64" t="str">
        <x:v>P1</x:v>
      </x:c>
      <x:c r="D107" s="64" t="n">
        <x:v>4</x:v>
      </x:c>
      <x:c r="E107" s="29" t="str">
        <x:v>With someone you trust, you may choose to say more. Privacy does not mean you must go without support.</x:v>
      </x:c>
      <x:c r="F107" s="29" t="str">
        <x:v>Slide 4 of 6. With someone you trust, you may choose to say more. Privacy does not mean you must go without support.</x:v>
      </x:c>
      <x:c r="G107" s="29" t="str">
        <x:v>script</x:v>
      </x:c>
      <x:c r="H107" s="29" t="str">
        <x:v>Draft — owner review</x:v>
      </x:c>
    </x:row>
    <x:row r="108" ht="84" customHeight="1">
      <x:c r="A108" s="29" t="str">
        <x:v>BTB-018</x:v>
      </x:c>
      <x:c r="B108" s="62" t="n">
        <x:v>46340</x:v>
      </x:c>
      <x:c r="C108" s="64" t="str">
        <x:v>P1</x:v>
      </x:c>
      <x:c r="D108" s="64" t="n">
        <x:v>5</x:v>
      </x:c>
      <x:c r="E108" s="29" t="str">
        <x:v>Decide what you are comfortable sharing before the gathering, rather than under pressure in the moment.</x:v>
      </x:c>
      <x:c r="F108" s="29" t="str">
        <x:v>Slide 5 of 6. Decide what you are comfortable sharing before the gathering, rather than under pressure in the moment.</x:v>
      </x:c>
      <x:c r="G108" s="29" t="str">
        <x:v>script</x:v>
      </x:c>
      <x:c r="H108" s="29" t="str">
        <x:v>Draft — owner review</x:v>
      </x:c>
    </x:row>
    <x:row r="109" ht="84" customHeight="1">
      <x:c r="A109" s="29" t="str">
        <x:v>BTB-018</x:v>
      </x:c>
      <x:c r="B109" s="62" t="n">
        <x:v>46340</x:v>
      </x:c>
      <x:c r="C109" s="64" t="str">
        <x:v>P1</x:v>
      </x:c>
      <x:c r="D109" s="64" t="n">
        <x:v>6</x:v>
      </x:c>
      <x:c r="E109" s="29" t="str">
        <x:v>Save a sentence you can use without apologising for having a private life.</x:v>
      </x:c>
      <x:c r="F109" s="29" t="str">
        <x:v>Slide 6 of 6. Save a sentence you can use without apologising for having a private life.</x:v>
      </x:c>
      <x:c r="G109" s="29" t="str">
        <x:v>script</x:v>
      </x:c>
      <x:c r="H109" s="29" t="str">
        <x:v>Draft — owner review</x:v>
      </x:c>
    </x:row>
    <x:row r="110" ht="84" customHeight="1">
      <x:c r="A110" s="29" t="str">
        <x:v>BTB-019</x:v>
      </x:c>
      <x:c r="B110" s="62" t="n">
        <x:v>46341</x:v>
      </x:c>
      <x:c r="C110" s="64" t="str">
        <x:v>P2</x:v>
      </x:c>
      <x:c r="D110" s="64" t="n">
        <x:v>1</x:v>
      </x:c>
      <x:c r="E110" s="29" t="str">
        <x:v>The quiet evening needs a plan, not an accusation against yourself.</x:v>
      </x:c>
      <x:c r="F110" s="29" t="str">
        <x:v>Slide 1 of 6. The quiet evening needs a plan, not an accusation against yourself.</x:v>
      </x:c>
      <x:c r="G110" s="29" t="str">
        <x:v>editorial</x:v>
      </x:c>
      <x:c r="H110" s="29" t="str">
        <x:v>Draft — owner review</x:v>
      </x:c>
    </x:row>
    <x:row r="111" ht="84" customHeight="1">
      <x:c r="A111" s="29" t="str">
        <x:v>BTB-019</x:v>
      </x:c>
      <x:c r="B111" s="62" t="n">
        <x:v>46341</x:v>
      </x:c>
      <x:c r="C111" s="64" t="str">
        <x:v>P2</x:v>
      </x:c>
      <x:c r="D111" s="64" t="n">
        <x:v>2</x:v>
      </x:c>
      <x:c r="E111" s="29" t="str">
        <x:v>When the house feels different, “I should be enjoying this” may only add pressure.</x:v>
      </x:c>
      <x:c r="F111" s="29" t="str">
        <x:v>Slide 2 of 6. When the house feels different, “I should be enjoying this” may only add pressure.</x:v>
      </x:c>
      <x:c r="G111" s="29" t="str">
        <x:v>editorial</x:v>
      </x:c>
      <x:c r="H111" s="29" t="str">
        <x:v>Draft — owner review</x:v>
      </x:c>
    </x:row>
    <x:row r="112" ht="84" customHeight="1">
      <x:c r="A112" s="29" t="str">
        <x:v>BTB-019</x:v>
      </x:c>
      <x:c r="B112" s="62" t="n">
        <x:v>46341</x:v>
      </x:c>
      <x:c r="C112" s="64" t="str">
        <x:v>P2</x:v>
      </x:c>
      <x:c r="D112" s="64" t="n">
        <x:v>3</x:v>
      </x:c>
      <x:c r="E112" s="29" t="str">
        <x:v>Give the evening a little shape: something to eat, something to do, and one possible connection.</x:v>
      </x:c>
      <x:c r="F112" s="29" t="str">
        <x:v>Slide 3 of 6. Give the evening a little shape: something to eat, something to do, and one possible connection.</x:v>
      </x:c>
      <x:c r="G112" s="29" t="str">
        <x:v>editorial</x:v>
      </x:c>
      <x:c r="H112" s="29" t="str">
        <x:v>Draft — owner review</x:v>
      </x:c>
    </x:row>
    <x:row r="113" ht="84" customHeight="1">
      <x:c r="A113" s="29" t="str">
        <x:v>BTB-019</x:v>
      </x:c>
      <x:c r="B113" s="62" t="n">
        <x:v>46341</x:v>
      </x:c>
      <x:c r="C113" s="64" t="str">
        <x:v>P2</x:v>
      </x:c>
      <x:c r="D113" s="64" t="n">
        <x:v>4</x:v>
      </x:c>
      <x:c r="E113" s="29" t="str">
        <x:v>Keep it ordinary. A book, a short outing, a household task, or a call can be enough to choose from.</x:v>
      </x:c>
      <x:c r="F113" s="29" t="str">
        <x:v>Slide 4 of 6. Keep it ordinary. A book, a short outing, a household task, or a call can be enough to choose from.</x:v>
      </x:c>
      <x:c r="G113" s="29" t="str">
        <x:v>editorial</x:v>
      </x:c>
      <x:c r="H113" s="29" t="str">
        <x:v>Draft — owner review</x:v>
      </x:c>
    </x:row>
    <x:row r="114" ht="84" customHeight="1">
      <x:c r="A114" s="29" t="str">
        <x:v>BTB-019</x:v>
      </x:c>
      <x:c r="B114" s="62" t="n">
        <x:v>46341</x:v>
      </x:c>
      <x:c r="C114" s="64" t="str">
        <x:v>P2</x:v>
      </x:c>
      <x:c r="D114" s="64" t="n">
        <x:v>5</x:v>
      </x:c>
      <x:c r="E114" s="29" t="str">
        <x:v>Notice what is manageable for you. Persistent or overwhelming distress deserves qualified support, not more self-criticism.</x:v>
      </x:c>
      <x:c r="F114" s="29" t="str">
        <x:v>Slide 5 of 6. Notice what is manageable for you. Persistent or overwhelming distress deserves qualified support, not more self-criticism.</x:v>
      </x:c>
      <x:c r="G114" s="29" t="str">
        <x:v>editorial</x:v>
      </x:c>
      <x:c r="H114" s="29" t="str">
        <x:v>Draft — owner review</x:v>
      </x:c>
    </x:row>
    <x:row r="115" ht="84" customHeight="1">
      <x:c r="A115" s="29" t="str">
        <x:v>BTB-019</x:v>
      </x:c>
      <x:c r="B115" s="62" t="n">
        <x:v>46341</x:v>
      </x:c>
      <x:c r="C115" s="64" t="str">
        <x:v>P2</x:v>
      </x:c>
      <x:c r="D115" s="64" t="n">
        <x:v>6</x:v>
      </x:c>
      <x:c r="E115" s="29" t="str">
        <x:v>Send this to someone learning how to live through unfamiliar quiet.</x:v>
      </x:c>
      <x:c r="F115" s="29" t="str">
        <x:v>Slide 6 of 6. Send this to someone learning how to live through unfamiliar quiet.</x:v>
      </x:c>
      <x:c r="G115" s="29" t="str">
        <x:v>editorial</x:v>
      </x:c>
      <x:c r="H115" s="29" t="str">
        <x:v>Draft — owner review</x:v>
      </x:c>
    </x:row>
    <x:row r="116" ht="84" customHeight="1">
      <x:c r="A116" s="29" t="str">
        <x:v>BTB-020</x:v>
      </x:c>
      <x:c r="B116" s="62" t="n">
        <x:v>46342</x:v>
      </x:c>
      <x:c r="C116" s="64" t="str">
        <x:v>P3</x:v>
      </x:c>
      <x:c r="D116" s="64" t="n">
        <x:v>1</x:v>
      </x:c>
      <x:c r="E116" s="29" t="str">
        <x:v>Make the handover checklist about belongings, not blame.</x:v>
      </x:c>
      <x:c r="F116" s="29" t="str">
        <x:v>Slide 1 of 6. Make the handover checklist about belongings, not blame.</x:v>
      </x:c>
      <x:c r="G116" s="29" t="str">
        <x:v>checklist</x:v>
      </x:c>
      <x:c r="H116" s="29" t="str">
        <x:v>Draft — owner review</x:v>
      </x:c>
    </x:row>
    <x:row r="117" ht="84" customHeight="1">
      <x:c r="A117" s="29" t="str">
        <x:v>BTB-020</x:v>
      </x:c>
      <x:c r="B117" s="62" t="n">
        <x:v>46342</x:v>
      </x:c>
      <x:c r="C117" s="64" t="str">
        <x:v>P3</x:v>
      </x:c>
      <x:c r="D117" s="64" t="n">
        <x:v>2</x:v>
      </x:c>
      <x:c r="E117" s="29" t="str">
        <x:v>Missing items can become another place where a strained relationship plays out.</x:v>
      </x:c>
      <x:c r="F117" s="29" t="str">
        <x:v>Slide 2 of 6. Missing items can become another place where a strained relationship plays out.</x:v>
      </x:c>
      <x:c r="G117" s="29" t="str">
        <x:v>checklist</x:v>
      </x:c>
      <x:c r="H117" s="29" t="str">
        <x:v>Draft — owner review</x:v>
      </x:c>
    </x:row>
    <x:row r="118" ht="84" customHeight="1">
      <x:c r="A118" s="29" t="str">
        <x:v>BTB-020</x:v>
      </x:c>
      <x:c r="B118" s="62" t="n">
        <x:v>46342</x:v>
      </x:c>
      <x:c r="C118" s="64" t="str">
        <x:v>P3</x:v>
      </x:c>
      <x:c r="D118" s="64" t="n">
        <x:v>3</x:v>
      </x:c>
      <x:c r="E118" s="29" t="str">
        <x:v>List the essentials for the transition: school items, clothing, and any information that needs an adult handover.</x:v>
      </x:c>
      <x:c r="F118" s="29" t="str">
        <x:v>Slide 3 of 6. List the essentials for the transition: school items, clothing, and any information that needs an adult handover.</x:v>
      </x:c>
      <x:c r="G118" s="29" t="str">
        <x:v>checklist</x:v>
      </x:c>
      <x:c r="H118" s="29" t="str">
        <x:v>Draft — owner review</x:v>
      </x:c>
    </x:row>
    <x:row r="119" ht="84" customHeight="1">
      <x:c r="A119" s="29" t="str">
        <x:v>BTB-020</x:v>
      </x:c>
      <x:c r="B119" s="62" t="n">
        <x:v>46342</x:v>
      </x:c>
      <x:c r="C119" s="64" t="str">
        <x:v>P3</x:v>
      </x:c>
      <x:c r="D119" s="64" t="n">
        <x:v>4</x:v>
      </x:c>
      <x:c r="E119" s="29" t="str">
        <x:v>Use the list to prepare your side. Request missing information through the agreed channel without asking the child to referee.</x:v>
      </x:c>
      <x:c r="F119" s="29" t="str">
        <x:v>Slide 4 of 6. Use the list to prepare your side. Request missing information through the agreed channel without asking the child to referee.</x:v>
      </x:c>
      <x:c r="G119" s="29" t="str">
        <x:v>checklist</x:v>
      </x:c>
      <x:c r="H119" s="29" t="str">
        <x:v>Draft — owner review</x:v>
      </x:c>
    </x:row>
    <x:row r="120" ht="84" customHeight="1">
      <x:c r="A120" s="29" t="str">
        <x:v>BTB-020</x:v>
      </x:c>
      <x:c r="B120" s="62" t="n">
        <x:v>46342</x:v>
      </x:c>
      <x:c r="C120" s="64" t="str">
        <x:v>P3</x:v>
      </x:c>
      <x:c r="D120" s="64" t="n">
        <x:v>5</x:v>
      </x:c>
      <x:c r="E120" s="29" t="str">
        <x:v>A checklist cannot resolve every disagreement. It can make one repeat task clearer.</x:v>
      </x:c>
      <x:c r="F120" s="29" t="str">
        <x:v>Slide 5 of 6. A checklist cannot resolve every disagreement. It can make one repeat task clearer.</x:v>
      </x:c>
      <x:c r="G120" s="29" t="str">
        <x:v>checklist</x:v>
      </x:c>
      <x:c r="H120" s="29" t="str">
        <x:v>Draft — owner review</x:v>
      </x:c>
    </x:row>
    <x:row r="121" ht="84" customHeight="1">
      <x:c r="A121" s="29" t="str">
        <x:v>BTB-020</x:v>
      </x:c>
      <x:c r="B121" s="62" t="n">
        <x:v>46342</x:v>
      </x:c>
      <x:c r="C121" s="64" t="str">
        <x:v>P3</x:v>
      </x:c>
      <x:c r="D121" s="64" t="n">
        <x:v>6</x:v>
      </x:c>
      <x:c r="E121" s="29" t="str">
        <x:v>Save this idea and build a short list that fits your actual arrangements.</x:v>
      </x:c>
      <x:c r="F121" s="29" t="str">
        <x:v>Slide 6 of 6. Save this idea and build a short list that fits your actual arrangements.</x:v>
      </x:c>
      <x:c r="G121" s="29" t="str">
        <x:v>checklist</x:v>
      </x:c>
      <x:c r="H121" s="29" t="str">
        <x:v>Draft — owner review</x:v>
      </x:c>
    </x:row>
    <x:row r="122" ht="84" customHeight="1">
      <x:c r="A122" s="29" t="str">
        <x:v>BTB-021</x:v>
      </x:c>
      <x:c r="B122" s="62" t="n">
        <x:v>46343</x:v>
      </x:c>
      <x:c r="C122" s="64" t="str">
        <x:v>P4</x:v>
      </x:c>
      <x:c r="D122" s="64" t="n">
        <x:v>1</x:v>
      </x:c>
      <x:c r="E122" s="29" t="str">
        <x:v>One delayed reply is not the whole relationship.</x:v>
      </x:c>
      <x:c r="F122" s="29" t="str">
        <x:v>Slide 1 of 6. One delayed reply is not the whole relationship.</x:v>
      </x:c>
      <x:c r="G122" s="29" t="str">
        <x:v>contrast</x:v>
      </x:c>
      <x:c r="H122" s="29" t="str">
        <x:v>Draft — owner review</x:v>
      </x:c>
    </x:row>
    <x:row r="123" ht="84" customHeight="1">
      <x:c r="A123" s="29" t="str">
        <x:v>BTB-021</x:v>
      </x:c>
      <x:c r="B123" s="62" t="n">
        <x:v>46343</x:v>
      </x:c>
      <x:c r="C123" s="64" t="str">
        <x:v>P4</x:v>
      </x:c>
      <x:c r="D123" s="64" t="n">
        <x:v>2</x:v>
      </x:c>
      <x:c r="E123" s="29" t="str">
        <x:v>It can feel significant, especially when uncertainty is already difficult for you.</x:v>
      </x:c>
      <x:c r="F123" s="29" t="str">
        <x:v>Slide 2 of 6. It can feel significant, especially when uncertainty is already difficult for you.</x:v>
      </x:c>
      <x:c r="G123" s="29" t="str">
        <x:v>contrast</x:v>
      </x:c>
      <x:c r="H123" s="29" t="str">
        <x:v>Draft — owner review</x:v>
      </x:c>
    </x:row>
    <x:row r="124" ht="84" customHeight="1">
      <x:c r="A124" s="29" t="str">
        <x:v>BTB-021</x:v>
      </x:c>
      <x:c r="B124" s="62" t="n">
        <x:v>46343</x:v>
      </x:c>
      <x:c r="C124" s="64" t="str">
        <x:v>P4</x:v>
      </x:c>
      <x:c r="D124" s="64" t="n">
        <x:v>3</x:v>
      </x:c>
      <x:c r="E124" s="29" t="str">
        <x:v>But response speed alone cannot tell you someone's intentions, care, or capacity that day.</x:v>
      </x:c>
      <x:c r="F124" s="29" t="str">
        <x:v>Slide 3 of 6. But response speed alone cannot tell you someone's intentions, care, or capacity that day.</x:v>
      </x:c>
      <x:c r="G124" s="29" t="str">
        <x:v>contrast</x:v>
      </x:c>
      <x:c r="H124" s="29" t="str">
        <x:v>Draft — owner review</x:v>
      </x:c>
    </x:row>
    <x:row r="125" ht="84" customHeight="1">
      <x:c r="A125" s="29" t="str">
        <x:v>BTB-021</x:v>
      </x:c>
      <x:c r="B125" s="62" t="n">
        <x:v>46343</x:v>
      </x:c>
      <x:c r="C125" s="64" t="str">
        <x:v>P4</x:v>
      </x:c>
      <x:c r="D125" s="64" t="n">
        <x:v>4</x:v>
      </x:c>
      <x:c r="E125" s="29" t="str">
        <x:v>Look at the broader pattern and the expectations you have actually discussed.</x:v>
      </x:c>
      <x:c r="F125" s="29" t="str">
        <x:v>Slide 4 of 6. Look at the broader pattern and the expectations you have actually discussed.</x:v>
      </x:c>
      <x:c r="G125" s="29" t="str">
        <x:v>contrast</x:v>
      </x:c>
      <x:c r="H125" s="29" t="str">
        <x:v>Draft — owner review</x:v>
      </x:c>
    </x:row>
    <x:row r="126" ht="84" customHeight="1">
      <x:c r="A126" s="29" t="str">
        <x:v>BTB-021</x:v>
      </x:c>
      <x:c r="B126" s="62" t="n">
        <x:v>46343</x:v>
      </x:c>
      <x:c r="C126" s="64" t="str">
        <x:v>P4</x:v>
      </x:c>
      <x:c r="D126" s="64" t="n">
        <x:v>5</x:v>
      </x:c>
      <x:c r="E126" s="29" t="str">
        <x:v>When appropriate, ask directly: “What communication rhythm works for both of us?”</x:v>
      </x:c>
      <x:c r="F126" s="29" t="str">
        <x:v>Slide 5 of 6. When appropriate, ask directly: “What communication rhythm works for both of us?”</x:v>
      </x:c>
      <x:c r="G126" s="29" t="str">
        <x:v>contrast</x:v>
      </x:c>
      <x:c r="H126" s="29" t="str">
        <x:v>Draft — owner review</x:v>
      </x:c>
    </x:row>
    <x:row r="127" ht="84" customHeight="1">
      <x:c r="A127" s="29" t="str">
        <x:v>BTB-021</x:v>
      </x:c>
      <x:c r="B127" s="62" t="n">
        <x:v>46343</x:v>
      </x:c>
      <x:c r="C127" s="64" t="str">
        <x:v>P4</x:v>
      </x:c>
      <x:c r="D127" s="64" t="n">
        <x:v>6</x:v>
      </x:c>
      <x:c r="E127" s="29" t="str">
        <x:v>Share this with someone who needs a clearer conversation, not another hour of guessing.</x:v>
      </x:c>
      <x:c r="F127" s="29" t="str">
        <x:v>Slide 6 of 6. Share this with someone who needs a clearer conversation, not another hour of guessing.</x:v>
      </x:c>
      <x:c r="G127" s="29" t="str">
        <x:v>contrast</x:v>
      </x:c>
      <x:c r="H127" s="29" t="str">
        <x:v>Draft — owner review</x:v>
      </x:c>
    </x:row>
    <x:row r="128" ht="84" customHeight="1">
      <x:c r="A128" s="29" t="str">
        <x:v>BTB-022</x:v>
      </x:c>
      <x:c r="B128" s="62" t="n">
        <x:v>46344</x:v>
      </x:c>
      <x:c r="C128" s="64" t="str">
        <x:v>P5</x:v>
      </x:c>
      <x:c r="D128" s="64" t="n">
        <x:v>1</x:v>
      </x:c>
      <x:c r="E128" s="29" t="str">
        <x:v>You do not need to rebuild every room this weekend.</x:v>
      </x:c>
      <x:c r="F128" s="29" t="str">
        <x:v>Slide 1 of 6. You do not need to rebuild every room this weekend.</x:v>
      </x:c>
      <x:c r="G128" s="29" t="str">
        <x:v>checklist</x:v>
      </x:c>
      <x:c r="H128" s="29" t="str">
        <x:v>Draft — owner review</x:v>
      </x:c>
    </x:row>
    <x:row r="129" ht="84" customHeight="1">
      <x:c r="A129" s="29" t="str">
        <x:v>BTB-022</x:v>
      </x:c>
      <x:c r="B129" s="62" t="n">
        <x:v>46344</x:v>
      </x:c>
      <x:c r="C129" s="64" t="str">
        <x:v>P5</x:v>
      </x:c>
      <x:c r="D129" s="64" t="n">
        <x:v>2</x:v>
      </x:c>
      <x:c r="E129" s="29" t="str">
        <x:v>A changed home can make you want to replace, reorganise, and reinvent everything at once.</x:v>
      </x:c>
      <x:c r="F129" s="29" t="str">
        <x:v>Slide 2 of 6. A changed home can make you want to replace, reorganise, and reinvent everything at once.</x:v>
      </x:c>
      <x:c r="G129" s="29" t="str">
        <x:v>checklist</x:v>
      </x:c>
      <x:c r="H129" s="29" t="str">
        <x:v>Draft — owner review</x:v>
      </x:c>
    </x:row>
    <x:row r="130" ht="84" customHeight="1">
      <x:c r="A130" s="29" t="str">
        <x:v>BTB-022</x:v>
      </x:c>
      <x:c r="B130" s="62" t="n">
        <x:v>46344</x:v>
      </x:c>
      <x:c r="C130" s="64" t="str">
        <x:v>P5</x:v>
      </x:c>
      <x:c r="D130" s="64" t="n">
        <x:v>3</x:v>
      </x:c>
      <x:c r="E130" s="29" t="str">
        <x:v>Choose one useful area: where you sleep, prepare food, work, or get ready to leave.</x:v>
      </x:c>
      <x:c r="F130" s="29" t="str">
        <x:v>Slide 3 of 6. Choose one useful area: where you sleep, prepare food, work, or get ready to leave.</x:v>
      </x:c>
      <x:c r="G130" s="29" t="str">
        <x:v>checklist</x:v>
      </x:c>
      <x:c r="H130" s="29" t="str">
        <x:v>Draft — owner review</x:v>
      </x:c>
    </x:row>
    <x:row r="131" ht="84" customHeight="1">
      <x:c r="A131" s="29" t="str">
        <x:v>BTB-022</x:v>
      </x:c>
      <x:c r="B131" s="62" t="n">
        <x:v>46344</x:v>
      </x:c>
      <x:c r="C131" s="64" t="str">
        <x:v>P5</x:v>
      </x:c>
      <x:c r="D131" s="64" t="n">
        <x:v>4</x:v>
      </x:c>
      <x:c r="E131" s="29" t="str">
        <x:v>Ask what would make that area easier to use. Start with what you already own.</x:v>
      </x:c>
      <x:c r="F131" s="29" t="str">
        <x:v>Slide 4 of 6. Ask what would make that area easier to use. Start with what you already own.</x:v>
      </x:c>
      <x:c r="G131" s="29" t="str">
        <x:v>checklist</x:v>
      </x:c>
      <x:c r="H131" s="29" t="str">
        <x:v>Draft — owner review</x:v>
      </x:c>
    </x:row>
    <x:row r="132" ht="84" customHeight="1">
      <x:c r="A132" s="29" t="str">
        <x:v>BTB-022</x:v>
      </x:c>
      <x:c r="B132" s="62" t="n">
        <x:v>46344</x:v>
      </x:c>
      <x:c r="C132" s="64" t="str">
        <x:v>P5</x:v>
      </x:c>
      <x:c r="D132" s="64" t="n">
        <x:v>5</x:v>
      </x:c>
      <x:c r="E132" s="29" t="str">
        <x:v>Set a manageable stopping point before you begin. Leave major spending decisions for a separate, considered conversation.</x:v>
      </x:c>
      <x:c r="F132" s="29" t="str">
        <x:v>Slide 5 of 6. Set a manageable stopping point before you begin. Leave major spending decisions for a separate, considered conversation.</x:v>
      </x:c>
      <x:c r="G132" s="29" t="str">
        <x:v>checklist</x:v>
      </x:c>
      <x:c r="H132" s="29" t="str">
        <x:v>Draft — owner review</x:v>
      </x:c>
    </x:row>
    <x:row r="133" ht="84" customHeight="1">
      <x:c r="A133" s="29" t="str">
        <x:v>BTB-022</x:v>
      </x:c>
      <x:c r="B133" s="62" t="n">
        <x:v>46344</x:v>
      </x:c>
      <x:c r="C133" s="64" t="str">
        <x:v>P5</x:v>
      </x:c>
      <x:c r="D133" s="64" t="n">
        <x:v>6</x:v>
      </x:c>
      <x:c r="E133" s="29" t="str">
        <x:v>Save this for the weekend when “start fresh” starts looking expensive and exhausting.</x:v>
      </x:c>
      <x:c r="F133" s="29" t="str">
        <x:v>Slide 6 of 6. Save this for the weekend when “start fresh” starts looking expensive and exhausting.</x:v>
      </x:c>
      <x:c r="G133" s="29" t="str">
        <x:v>checklist</x:v>
      </x:c>
      <x:c r="H133" s="29" t="str">
        <x:v>Draft — owner review</x:v>
      </x:c>
    </x:row>
    <x:row r="134" ht="84" customHeight="1">
      <x:c r="A134" s="29" t="str">
        <x:v>BTB-023</x:v>
      </x:c>
      <x:c r="B134" s="62" t="n">
        <x:v>46345</x:v>
      </x:c>
      <x:c r="C134" s="64" t="str">
        <x:v>P1</x:v>
      </x:c>
      <x:c r="D134" s="64" t="n">
        <x:v>1</x:v>
      </x:c>
      <x:c r="E134" s="29" t="str">
        <x:v>Being separated does not erase the rest of your identity.</x:v>
      </x:c>
      <x:c r="F134" s="29" t="str">
        <x:v>Slide 1 of 6. Being separated does not erase the rest of your identity.</x:v>
      </x:c>
      <x:c r="G134" s="29" t="str">
        <x:v>editorial</x:v>
      </x:c>
      <x:c r="H134" s="29" t="str">
        <x:v>Draft — owner review</x:v>
      </x:c>
    </x:row>
    <x:row r="135" ht="84" customHeight="1">
      <x:c r="A135" s="29" t="str">
        <x:v>BTB-023</x:v>
      </x:c>
      <x:c r="B135" s="62" t="n">
        <x:v>46345</x:v>
      </x:c>
      <x:c r="C135" s="64" t="str">
        <x:v>P1</x:v>
      </x:c>
      <x:c r="D135" s="64" t="n">
        <x:v>2</x:v>
      </x:c>
      <x:c r="E135" s="29" t="str">
        <x:v>It may dominate conversations, paperwork, and your own thoughts. It is still not the only thing about you.</x:v>
      </x:c>
      <x:c r="F135" s="29" t="str">
        <x:v>Slide 2 of 6. It may dominate conversations, paperwork, and your own thoughts. It is still not the only thing about you.</x:v>
      </x:c>
      <x:c r="G135" s="29" t="str">
        <x:v>editorial</x:v>
      </x:c>
      <x:c r="H135" s="29" t="str">
        <x:v>Draft — owner review</x:v>
      </x:c>
    </x:row>
    <x:row r="136" ht="84" customHeight="1">
      <x:c r="A136" s="29" t="str">
        <x:v>BTB-023</x:v>
      </x:c>
      <x:c r="B136" s="62" t="n">
        <x:v>46345</x:v>
      </x:c>
      <x:c r="C136" s="64" t="str">
        <x:v>P1</x:v>
      </x:c>
      <x:c r="D136" s="64" t="n">
        <x:v>3</x:v>
      </x:c>
      <x:c r="E136" s="29" t="str">
        <x:v>Write down roles and interests that exist beyond relationship status: friend, parent, colleague, learner, maker, neighbour.</x:v>
      </x:c>
      <x:c r="F136" s="29" t="str">
        <x:v>Slide 3 of 6. Write down roles and interests that exist beyond relationship status: friend, parent, colleague, learner, maker, neighbour.</x:v>
      </x:c>
      <x:c r="G136" s="29" t="str">
        <x:v>editorial</x:v>
      </x:c>
      <x:c r="H136" s="29" t="str">
        <x:v>Draft — owner review</x:v>
      </x:c>
    </x:row>
    <x:row r="137" ht="84" customHeight="1">
      <x:c r="A137" s="29" t="str">
        <x:v>BTB-023</x:v>
      </x:c>
      <x:c r="B137" s="62" t="n">
        <x:v>46345</x:v>
      </x:c>
      <x:c r="C137" s="64" t="str">
        <x:v>P1</x:v>
      </x:c>
      <x:c r="D137" s="64" t="n">
        <x:v>4</x:v>
      </x:c>
      <x:c r="E137" s="29" t="str">
        <x:v>Choose one you have had little room for lately. Give it one small place in this week.</x:v>
      </x:c>
      <x:c r="F137" s="29" t="str">
        <x:v>Slide 4 of 6. Choose one you have had little room for lately. Give it one small place in this week.</x:v>
      </x:c>
      <x:c r="G137" s="29" t="str">
        <x:v>editorial</x:v>
      </x:c>
      <x:c r="H137" s="29" t="str">
        <x:v>Draft — owner review</x:v>
      </x:c>
    </x:row>
    <x:row r="138" ht="84" customHeight="1">
      <x:c r="A138" s="29" t="str">
        <x:v>BTB-023</x:v>
      </x:c>
      <x:c r="B138" s="62" t="n">
        <x:v>46345</x:v>
      </x:c>
      <x:c r="C138" s="64" t="str">
        <x:v>P1</x:v>
      </x:c>
      <x:c r="D138" s="64" t="n">
        <x:v>5</x:v>
      </x:c>
      <x:c r="E138" s="29" t="str">
        <x:v>You do not need a completely new personality. You may need space for parts of yourself that became quieter.</x:v>
      </x:c>
      <x:c r="F138" s="29" t="str">
        <x:v>Slide 5 of 6. You do not need a completely new personality. You may need space for parts of yourself that became quieter.</x:v>
      </x:c>
      <x:c r="G138" s="29" t="str">
        <x:v>editorial</x:v>
      </x:c>
      <x:c r="H138" s="29" t="str">
        <x:v>Draft — owner review</x:v>
      </x:c>
    </x:row>
    <x:row r="139" ht="84" customHeight="1">
      <x:c r="A139" s="29" t="str">
        <x:v>BTB-023</x:v>
      </x:c>
      <x:c r="B139" s="62" t="n">
        <x:v>46345</x:v>
      </x:c>
      <x:c r="C139" s="64" t="str">
        <x:v>P1</x:v>
      </x:c>
      <x:c r="D139" s="64" t="n">
        <x:v>6</x:v>
      </x:c>
      <x:c r="E139" s="29" t="str">
        <x:v>Send this to someone whose whole story has been reduced to one chapter.</x:v>
      </x:c>
      <x:c r="F139" s="29" t="str">
        <x:v>Slide 6 of 6. Send this to someone whose whole story has been reduced to one chapter.</x:v>
      </x:c>
      <x:c r="G139" s="29" t="str">
        <x:v>editorial</x:v>
      </x:c>
      <x:c r="H139" s="29" t="str">
        <x:v>Draft — owner review</x:v>
      </x:c>
    </x:row>
    <x:row r="140" ht="84" customHeight="1">
      <x:c r="A140" s="29" t="str">
        <x:v>BTB-024</x:v>
      </x:c>
      <x:c r="B140" s="62" t="n">
        <x:v>46346</x:v>
      </x:c>
      <x:c r="C140" s="64" t="str">
        <x:v>P2</x:v>
      </x:c>
      <x:c r="D140" s="64" t="n">
        <x:v>1</x:v>
      </x:c>
      <x:c r="E140" s="29" t="str">
        <x:v>“I'm fine” is not your only option.</x:v>
      </x:c>
      <x:c r="F140" s="29" t="str">
        <x:v>Slide 1 of 6. “I'm fine” is not your only option.</x:v>
      </x:c>
      <x:c r="G140" s="29" t="str">
        <x:v>script</x:v>
      </x:c>
      <x:c r="H140" s="29" t="str">
        <x:v>Draft — owner review</x:v>
      </x:c>
    </x:row>
    <x:row r="141" ht="84" customHeight="1">
      <x:c r="A141" s="29" t="str">
        <x:v>BTB-024</x:v>
      </x:c>
      <x:c r="B141" s="62" t="n">
        <x:v>46346</x:v>
      </x:c>
      <x:c r="C141" s="64" t="str">
        <x:v>P2</x:v>
      </x:c>
      <x:c r="D141" s="64" t="n">
        <x:v>2</x:v>
      </x:c>
      <x:c r="E141" s="29" t="str">
        <x:v>You can be truthful without opening a conversation you do not have capacity for.</x:v>
      </x:c>
      <x:c r="F141" s="29" t="str">
        <x:v>Slide 2 of 6. You can be truthful without opening a conversation you do not have capacity for.</x:v>
      </x:c>
      <x:c r="G141" s="29" t="str">
        <x:v>script</x:v>
      </x:c>
      <x:c r="H141" s="29" t="str">
        <x:v>Draft — owner review</x:v>
      </x:c>
    </x:row>
    <x:row r="142" ht="84" customHeight="1">
      <x:c r="A142" s="29" t="str">
        <x:v>BTB-024</x:v>
      </x:c>
      <x:c r="B142" s="62" t="n">
        <x:v>46346</x:v>
      </x:c>
      <x:c r="C142" s="64" t="str">
        <x:v>P2</x:v>
      </x:c>
      <x:c r="D142" s="64" t="n">
        <x:v>3</x:v>
      </x:c>
      <x:c r="E142" s="29" t="str">
        <x:v>Try: “I'm managing today, but it has been a difficult stretch. I appreciate you asking.”</x:v>
      </x:c>
      <x:c r="F142" s="29" t="str">
        <x:v>Slide 3 of 6. Try: “I'm managing today, but it has been a difficult stretch. I appreciate you asking.”</x:v>
      </x:c>
      <x:c r="G142" s="29" t="str">
        <x:v>script</x:v>
      </x:c>
      <x:c r="H142" s="29" t="str">
        <x:v>Draft — owner review</x:v>
      </x:c>
    </x:row>
    <x:row r="143" ht="84" customHeight="1">
      <x:c r="A143" s="29" t="str">
        <x:v>BTB-024</x:v>
      </x:c>
      <x:c r="B143" s="62" t="n">
        <x:v>46346</x:v>
      </x:c>
      <x:c r="C143" s="64" t="str">
        <x:v>P2</x:v>
      </x:c>
      <x:c r="D143" s="64" t="n">
        <x:v>4</x:v>
      </x:c>
      <x:c r="E143" s="29" t="str">
        <x:v>For a trusted person: “I could use company more than advice. Do you have some time this week?”</x:v>
      </x:c>
      <x:c r="F143" s="29" t="str">
        <x:v>Slide 4 of 6. For a trusted person: “I could use company more than advice. Do you have some time this week?”</x:v>
      </x:c>
      <x:c r="G143" s="29" t="str">
        <x:v>script</x:v>
      </x:c>
      <x:c r="H143" s="29" t="str">
        <x:v>Draft — owner review</x:v>
      </x:c>
    </x:row>
    <x:row r="144" ht="84" customHeight="1">
      <x:c r="A144" s="29" t="str">
        <x:v>BTB-024</x:v>
      </x:c>
      <x:c r="B144" s="62" t="n">
        <x:v>46346</x:v>
      </x:c>
      <x:c r="C144" s="64" t="str">
        <x:v>P2</x:v>
      </x:c>
      <x:c r="D144" s="64" t="n">
        <x:v>5</x:v>
      </x:c>
      <x:c r="E144" s="29" t="str">
        <x:v>Choose the level of openness that fits the relationship and your needs.</x:v>
      </x:c>
      <x:c r="F144" s="29" t="str">
        <x:v>Slide 5 of 6. Choose the level of openness that fits the relationship and your needs.</x:v>
      </x:c>
      <x:c r="G144" s="29" t="str">
        <x:v>script</x:v>
      </x:c>
      <x:c r="H144" s="29" t="str">
        <x:v>Draft — owner review</x:v>
      </x:c>
    </x:row>
    <x:row r="145" ht="84" customHeight="1">
      <x:c r="A145" s="29" t="str">
        <x:v>BTB-024</x:v>
      </x:c>
      <x:c r="B145" s="62" t="n">
        <x:v>46346</x:v>
      </x:c>
      <x:c r="C145" s="64" t="str">
        <x:v>P2</x:v>
      </x:c>
      <x:c r="D145" s="64" t="n">
        <x:v>6</x:v>
      </x:c>
      <x:c r="E145" s="29" t="str">
        <x:v>Save a more honest answer for the next time someone checks in.</x:v>
      </x:c>
      <x:c r="F145" s="29" t="str">
        <x:v>Slide 6 of 6. Save a more honest answer for the next time someone checks in.</x:v>
      </x:c>
      <x:c r="G145" s="29" t="str">
        <x:v>script</x:v>
      </x:c>
      <x:c r="H145" s="29" t="str">
        <x:v>Draft — owner review</x:v>
      </x:c>
    </x:row>
    <x:row r="146" ht="84" customHeight="1">
      <x:c r="A146" s="29" t="str">
        <x:v>BTB-025</x:v>
      </x:c>
      <x:c r="B146" s="62" t="n">
        <x:v>46347</x:v>
      </x:c>
      <x:c r="C146" s="64" t="str">
        <x:v>P3</x:v>
      </x:c>
      <x:c r="D146" s="64" t="n">
        <x:v>1</x:v>
      </x:c>
      <x:c r="E146" s="29" t="str">
        <x:v>Your child's good day elsewhere is not a loss for you.</x:v>
      </x:c>
      <x:c r="F146" s="29" t="str">
        <x:v>Slide 1 of 6. Your child's good day elsewhere is not a loss for you.</x:v>
      </x:c>
      <x:c r="G146" s="29" t="str">
        <x:v>editorial</x:v>
      </x:c>
      <x:c r="H146" s="29" t="str">
        <x:v>Draft — owner review</x:v>
      </x:c>
    </x:row>
    <x:row r="147" ht="84" customHeight="1">
      <x:c r="A147" s="29" t="str">
        <x:v>BTB-025</x:v>
      </x:c>
      <x:c r="B147" s="62" t="n">
        <x:v>46347</x:v>
      </x:c>
      <x:c r="C147" s="64" t="str">
        <x:v>P3</x:v>
      </x:c>
      <x:c r="D147" s="64" t="n">
        <x:v>2</x:v>
      </x:c>
      <x:c r="E147" s="29" t="str">
        <x:v>Hearing about another household can bring up feelings you did not expect.</x:v>
      </x:c>
      <x:c r="F147" s="29" t="str">
        <x:v>Slide 2 of 6. Hearing about another household can bring up feelings you did not expect.</x:v>
      </x:c>
      <x:c r="G147" s="29" t="str">
        <x:v>editorial</x:v>
      </x:c>
      <x:c r="H147" s="29" t="str">
        <x:v>Draft — owner review</x:v>
      </x:c>
    </x:row>
    <x:row r="148" ht="84" customHeight="1">
      <x:c r="A148" s="29" t="str">
        <x:v>BTB-025</x:v>
      </x:c>
      <x:c r="B148" s="62" t="n">
        <x:v>46347</x:v>
      </x:c>
      <x:c r="C148" s="64" t="str">
        <x:v>P3</x:v>
      </x:c>
      <x:c r="D148" s="64" t="n">
        <x:v>3</x:v>
      </x:c>
      <x:c r="E148" s="29" t="str">
        <x:v>Those feelings deserve an adult place to go. They do not have to shape your child's response.</x:v>
      </x:c>
      <x:c r="F148" s="29" t="str">
        <x:v>Slide 3 of 6. Those feelings deserve an adult place to go. They do not have to shape your child's response.</x:v>
      </x:c>
      <x:c r="G148" s="29" t="str">
        <x:v>editorial</x:v>
      </x:c>
      <x:c r="H148" s="29" t="str">
        <x:v>Draft — owner review</x:v>
      </x:c>
    </x:row>
    <x:row r="149" ht="84" customHeight="1">
      <x:c r="A149" s="29" t="str">
        <x:v>BTB-025</x:v>
      </x:c>
      <x:c r="B149" s="62" t="n">
        <x:v>46347</x:v>
      </x:c>
      <x:c r="C149" s="64" t="str">
        <x:v>P3</x:v>
      </x:c>
      <x:c r="D149" s="64" t="n">
        <x:v>4</x:v>
      </x:c>
      <x:c r="E149" s="29" t="str">
        <x:v>You can say, “That sounds like something you enjoyed,” without asking for a comparison.</x:v>
      </x:c>
      <x:c r="F149" s="29" t="str">
        <x:v>Slide 4 of 6. You can say, “That sounds like something you enjoyed,” without asking for a comparison.</x:v>
      </x:c>
      <x:c r="G149" s="29" t="str">
        <x:v>editorial</x:v>
      </x:c>
      <x:c r="H149" s="29" t="str">
        <x:v>Draft — owner review</x:v>
      </x:c>
    </x:row>
    <x:row r="150" ht="84" customHeight="1">
      <x:c r="A150" s="29" t="str">
        <x:v>BTB-025</x:v>
      </x:c>
      <x:c r="B150" s="62" t="n">
        <x:v>46347</x:v>
      </x:c>
      <x:c r="C150" s="64" t="str">
        <x:v>P3</x:v>
      </x:c>
      <x:c r="D150" s="64" t="n">
        <x:v>5</x:v>
      </x:c>
      <x:c r="E150" s="29" t="str">
        <x:v>Make room for their experience while getting support for your own. Where safety is a concern, seek appropriate professional guidance.</x:v>
      </x:c>
      <x:c r="F150" s="29" t="str">
        <x:v>Slide 5 of 6. Make room for their experience while getting support for your own. Where safety is a concern, seek appropriate professional guidance.</x:v>
      </x:c>
      <x:c r="G150" s="29" t="str">
        <x:v>editorial</x:v>
      </x:c>
      <x:c r="H150" s="29" t="str">
        <x:v>Draft — owner review</x:v>
      </x:c>
    </x:row>
    <x:row r="151" ht="84" customHeight="1">
      <x:c r="A151" s="29" t="str">
        <x:v>BTB-025</x:v>
      </x:c>
      <x:c r="B151" s="62" t="n">
        <x:v>46347</x:v>
      </x:c>
      <x:c r="C151" s="64" t="str">
        <x:v>P3</x:v>
      </x:c>
      <x:c r="D151" s="64" t="n">
        <x:v>6</x:v>
      </x:c>
      <x:c r="E151" s="29" t="str">
        <x:v>Share this reminder: a child does not need to reduce their happiness to protect an adult.</x:v>
      </x:c>
      <x:c r="F151" s="29" t="str">
        <x:v>Slide 6 of 6. Share this reminder: a child does not need to reduce their happiness to protect an adult.</x:v>
      </x:c>
      <x:c r="G151" s="29" t="str">
        <x:v>editorial</x:v>
      </x:c>
      <x:c r="H151" s="29" t="str">
        <x:v>Draft — owner review</x:v>
      </x:c>
    </x:row>
    <x:row r="152" ht="84" customHeight="1">
      <x:c r="A152" s="29" t="str">
        <x:v>BTB-026</x:v>
      </x:c>
      <x:c r="B152" s="62" t="n">
        <x:v>46348</x:v>
      </x:c>
      <x:c r="C152" s="64" t="str">
        <x:v>P4</x:v>
      </x:c>
      <x:c r="D152" s="64" t="n">
        <x:v>1</x:v>
      </x:c>
      <x:c r="E152" s="29" t="str">
        <x:v>Before saying yes, check what the yes will cost you.</x:v>
      </x:c>
      <x:c r="F152" s="29" t="str">
        <x:v>Slide 1 of 6. Before saying yes, check what the yes will cost you.</x:v>
      </x:c>
      <x:c r="G152" s="29" t="str">
        <x:v>checklist</x:v>
      </x:c>
      <x:c r="H152" s="29" t="str">
        <x:v>Draft — owner review</x:v>
      </x:c>
    </x:row>
    <x:row r="153" ht="84" customHeight="1">
      <x:c r="A153" s="29" t="str">
        <x:v>BTB-026</x:v>
      </x:c>
      <x:c r="B153" s="62" t="n">
        <x:v>46348</x:v>
      </x:c>
      <x:c r="C153" s="64" t="str">
        <x:v>P4</x:v>
      </x:c>
      <x:c r="D153" s="64" t="n">
        <x:v>2</x:v>
      </x:c>
      <x:c r="E153" s="29" t="str">
        <x:v>Not only money. Time, energy, existing responsibilities, and commitments already made.</x:v>
      </x:c>
      <x:c r="F153" s="29" t="str">
        <x:v>Slide 2 of 6. Not only money. Time, energy, existing responsibilities, and commitments already made.</x:v>
      </x:c>
      <x:c r="G153" s="29" t="str">
        <x:v>checklist</x:v>
      </x:c>
      <x:c r="H153" s="29" t="str">
        <x:v>Draft — owner review</x:v>
      </x:c>
    </x:row>
    <x:row r="154" ht="84" customHeight="1">
      <x:c r="A154" s="29" t="str">
        <x:v>BTB-026</x:v>
      </x:c>
      <x:c r="B154" s="62" t="n">
        <x:v>46348</x:v>
      </x:c>
      <x:c r="C154" s="64" t="str">
        <x:v>P4</x:v>
      </x:c>
      <x:c r="D154" s="64" t="n">
        <x:v>3</x:v>
      </x:c>
      <x:c r="E154" s="29" t="str">
        <x:v>Ask: do I want to do this, can I do it, and am I agreeing mainly to avoid discomfort?</x:v>
      </x:c>
      <x:c r="F154" s="29" t="str">
        <x:v>Slide 3 of 6. Ask: do I want to do this, can I do it, and am I agreeing mainly to avoid discomfort?</x:v>
      </x:c>
      <x:c r="G154" s="29" t="str">
        <x:v>checklist</x:v>
      </x:c>
      <x:c r="H154" s="29" t="str">
        <x:v>Draft — owner review</x:v>
      </x:c>
    </x:row>
    <x:row r="155" ht="84" customHeight="1">
      <x:c r="A155" s="29" t="str">
        <x:v>BTB-026</x:v>
      </x:c>
      <x:c r="B155" s="62" t="n">
        <x:v>46348</x:v>
      </x:c>
      <x:c r="C155" s="64" t="str">
        <x:v>P4</x:v>
      </x:c>
      <x:c r="D155" s="64" t="n">
        <x:v>4</x:v>
      </x:c>
      <x:c r="E155" s="29" t="str">
        <x:v>A useful response is: “Let me check what I can realistically commit to.”</x:v>
      </x:c>
      <x:c r="F155" s="29" t="str">
        <x:v>Slide 4 of 6. A useful response is: “Let me check what I can realistically commit to.”</x:v>
      </x:c>
      <x:c r="G155" s="29" t="str">
        <x:v>checklist</x:v>
      </x:c>
      <x:c r="H155" s="29" t="str">
        <x:v>Draft — owner review</x:v>
      </x:c>
    </x:row>
    <x:row r="156" ht="84" customHeight="1">
      <x:c r="A156" s="29" t="str">
        <x:v>BTB-026</x:v>
      </x:c>
      <x:c r="B156" s="62" t="n">
        <x:v>46348</x:v>
      </x:c>
      <x:c r="C156" s="64" t="str">
        <x:v>P4</x:v>
      </x:c>
      <x:c r="D156" s="64" t="n">
        <x:v>5</x:v>
      </x:c>
      <x:c r="E156" s="29" t="str">
        <x:v>Then give a clear answer. Delay should help you decide, not leave the other person waiting indefinitely.</x:v>
      </x:c>
      <x:c r="F156" s="29" t="str">
        <x:v>Slide 5 of 6. Then give a clear answer. Delay should help you decide, not leave the other person waiting indefinitely.</x:v>
      </x:c>
      <x:c r="G156" s="29" t="str">
        <x:v>checklist</x:v>
      </x:c>
      <x:c r="H156" s="29" t="str">
        <x:v>Draft — owner review</x:v>
      </x:c>
    </x:row>
    <x:row r="157" ht="84" customHeight="1">
      <x:c r="A157" s="29" t="str">
        <x:v>BTB-026</x:v>
      </x:c>
      <x:c r="B157" s="62" t="n">
        <x:v>46348</x:v>
      </x:c>
      <x:c r="C157" s="64" t="str">
        <x:v>P4</x:v>
      </x:c>
      <x:c r="D157" s="64" t="n">
        <x:v>6</x:v>
      </x:c>
      <x:c r="E157" s="29" t="str">
        <x:v>Save these questions for a request you are tempted to accept too quickly.</x:v>
      </x:c>
      <x:c r="F157" s="29" t="str">
        <x:v>Slide 6 of 6. Save these questions for a request you are tempted to accept too quickly.</x:v>
      </x:c>
      <x:c r="G157" s="29" t="str">
        <x:v>checklist</x:v>
      </x:c>
      <x:c r="H157" s="29" t="str">
        <x:v>Draft — owner review</x:v>
      </x:c>
    </x:row>
    <x:row r="158" ht="84" customHeight="1">
      <x:c r="A158" s="29" t="str">
        <x:v>BTB-027</x:v>
      </x:c>
      <x:c r="B158" s="62" t="n">
        <x:v>46349</x:v>
      </x:c>
      <x:c r="C158" s="64" t="str">
        <x:v>P5</x:v>
      </x:c>
      <x:c r="D158" s="64" t="n">
        <x:v>1</x:v>
      </x:c>
      <x:c r="E158" s="29" t="str">
        <x:v>Put a finish line on today's admin.</x:v>
      </x:c>
      <x:c r="F158" s="29" t="str">
        <x:v>Slide 1 of 6. Put a finish line on today's admin.</x:v>
      </x:c>
      <x:c r="G158" s="29" t="str">
        <x:v>checklist</x:v>
      </x:c>
      <x:c r="H158" s="29" t="str">
        <x:v>Draft — owner review</x:v>
      </x:c>
    </x:row>
    <x:row r="159" ht="84" customHeight="1">
      <x:c r="A159" s="29" t="str">
        <x:v>BTB-027</x:v>
      </x:c>
      <x:c r="B159" s="62" t="n">
        <x:v>46349</x:v>
      </x:c>
      <x:c r="C159" s="64" t="str">
        <x:v>P5</x:v>
      </x:c>
      <x:c r="D159" s="64" t="n">
        <x:v>2</x:v>
      </x:c>
      <x:c r="E159" s="29" t="str">
        <x:v>There may always be another email, form, or document to look at.</x:v>
      </x:c>
      <x:c r="F159" s="29" t="str">
        <x:v>Slide 2 of 6. There may always be another email, form, or document to look at.</x:v>
      </x:c>
      <x:c r="G159" s="29" t="str">
        <x:v>checklist</x:v>
      </x:c>
      <x:c r="H159" s="29" t="str">
        <x:v>Draft — owner review</x:v>
      </x:c>
    </x:row>
    <x:row r="160" ht="84" customHeight="1">
      <x:c r="A160" s="29" t="str">
        <x:v>BTB-027</x:v>
      </x:c>
      <x:c r="B160" s="62" t="n">
        <x:v>46349</x:v>
      </x:c>
      <x:c r="C160" s="64" t="str">
        <x:v>P5</x:v>
      </x:c>
      <x:c r="D160" s="64" t="n">
        <x:v>3</x:v>
      </x:c>
      <x:c r="E160" s="29" t="str">
        <x:v>Choose the task and define completion: send the question, locate the file, or confirm the appointment.</x:v>
      </x:c>
      <x:c r="F160" s="29" t="str">
        <x:v>Slide 3 of 6. Choose the task and define completion: send the question, locate the file, or confirm the appointment.</x:v>
      </x:c>
      <x:c r="G160" s="29" t="str">
        <x:v>checklist</x:v>
      </x:c>
      <x:c r="H160" s="29" t="str">
        <x:v>Draft — owner review</x:v>
      </x:c>
    </x:row>
    <x:row r="161" ht="84" customHeight="1">
      <x:c r="A161" s="29" t="str">
        <x:v>BTB-027</x:v>
      </x:c>
      <x:c r="B161" s="62" t="n">
        <x:v>46349</x:v>
      </x:c>
      <x:c r="C161" s="64" t="str">
        <x:v>P5</x:v>
      </x:c>
      <x:c r="D161" s="64" t="n">
        <x:v>4</x:v>
      </x:c>
      <x:c r="E161" s="29" t="str">
        <x:v>Keep a note of what remains, including real deadlines. Do not rely on memory to carry every loose end.</x:v>
      </x:c>
      <x:c r="F161" s="29" t="str">
        <x:v>Slide 4 of 6. Keep a note of what remains, including real deadlines. Do not rely on memory to carry every loose end.</x:v>
      </x:c>
      <x:c r="G161" s="29" t="str">
        <x:v>checklist</x:v>
      </x:c>
      <x:c r="H161" s="29" t="str">
        <x:v>Draft — owner review</x:v>
      </x:c>
    </x:row>
    <x:row r="162" ht="84" customHeight="1">
      <x:c r="A162" s="29" t="str">
        <x:v>BTB-027</x:v>
      </x:c>
      <x:c r="B162" s="62" t="n">
        <x:v>46349</x:v>
      </x:c>
      <x:c r="C162" s="64" t="str">
        <x:v>P5</x:v>
      </x:c>
      <x:c r="D162" s="64" t="n">
        <x:v>5</x:v>
      </x:c>
      <x:c r="E162" s="29" t="str">
        <x:v>When the chosen task is complete, stop or deliberately choose another. Avoid drifting into an endless review.</x:v>
      </x:c>
      <x:c r="F162" s="29" t="str">
        <x:v>Slide 5 of 6. When the chosen task is complete, stop or deliberately choose another. Avoid drifting into an endless review.</x:v>
      </x:c>
      <x:c r="G162" s="29" t="str">
        <x:v>checklist</x:v>
      </x:c>
      <x:c r="H162" s="29" t="str">
        <x:v>Draft — owner review</x:v>
      </x:c>
    </x:row>
    <x:row r="163" ht="84" customHeight="1">
      <x:c r="A163" s="29" t="str">
        <x:v>BTB-027</x:v>
      </x:c>
      <x:c r="B163" s="62" t="n">
        <x:v>46349</x:v>
      </x:c>
      <x:c r="C163" s="64" t="str">
        <x:v>P5</x:v>
      </x:c>
      <x:c r="D163" s="64" t="n">
        <x:v>6</x:v>
      </x:c>
      <x:c r="E163" s="29" t="str">
        <x:v>Save this for the day paperwork starts occupying every available hour.</x:v>
      </x:c>
      <x:c r="F163" s="29" t="str">
        <x:v>Slide 6 of 6. Save this for the day paperwork starts occupying every available hour.</x:v>
      </x:c>
      <x:c r="G163" s="29" t="str">
        <x:v>checklist</x:v>
      </x:c>
      <x:c r="H163" s="29" t="str">
        <x:v>Draft — owner review</x:v>
      </x:c>
    </x:row>
    <x:row r="164" ht="84" customHeight="1">
      <x:c r="A164" s="29" t="str">
        <x:v>BTB-028</x:v>
      </x:c>
      <x:c r="B164" s="62" t="n">
        <x:v>46350</x:v>
      </x:c>
      <x:c r="C164" s="64" t="str">
        <x:v>P1</x:v>
      </x:c>
      <x:c r="D164" s="64" t="n">
        <x:v>1</x:v>
      </x:c>
      <x:c r="E164" s="29" t="str">
        <x:v>Relief and sadness can belong to the same decision.</x:v>
      </x:c>
      <x:c r="F164" s="29" t="str">
        <x:v>Slide 1 of 6. Relief and sadness can belong to the same decision.</x:v>
      </x:c>
      <x:c r="G164" s="29" t="str">
        <x:v>editorial</x:v>
      </x:c>
      <x:c r="H164" s="29" t="str">
        <x:v>Draft — owner review</x:v>
      </x:c>
    </x:row>
    <x:row r="165" ht="84" customHeight="1">
      <x:c r="A165" s="29" t="str">
        <x:v>BTB-028</x:v>
      </x:c>
      <x:c r="B165" s="62" t="n">
        <x:v>46350</x:v>
      </x:c>
      <x:c r="C165" s="64" t="str">
        <x:v>P1</x:v>
      </x:c>
      <x:c r="D165" s="64" t="n">
        <x:v>2</x:v>
      </x:c>
      <x:c r="E165" s="29" t="str">
        <x:v>You may feel lighter about one part of a change and deeply disappointed about another.</x:v>
      </x:c>
      <x:c r="F165" s="29" t="str">
        <x:v>Slide 2 of 6. You may feel lighter about one part of a change and deeply disappointed about another.</x:v>
      </x:c>
      <x:c r="G165" s="29" t="str">
        <x:v>editorial</x:v>
      </x:c>
      <x:c r="H165" s="29" t="str">
        <x:v>Draft — owner review</x:v>
      </x:c>
    </x:row>
    <x:row r="166" ht="84" customHeight="1">
      <x:c r="A166" s="29" t="str">
        <x:v>BTB-028</x:v>
      </x:c>
      <x:c r="B166" s="62" t="n">
        <x:v>46350</x:v>
      </x:c>
      <x:c r="C166" s="64" t="str">
        <x:v>P1</x:v>
      </x:c>
      <x:c r="D166" s="64" t="n">
        <x:v>3</x:v>
      </x:c>
      <x:c r="E166" s="29" t="str">
        <x:v>You do not need to force those feelings into a single verdict about the entire relationship.</x:v>
      </x:c>
      <x:c r="F166" s="29" t="str">
        <x:v>Slide 3 of 6. You do not need to force those feelings into a single verdict about the entire relationship.</x:v>
      </x:c>
      <x:c r="G166" s="29" t="str">
        <x:v>editorial</x:v>
      </x:c>
      <x:c r="H166" s="29" t="str">
        <x:v>Draft — owner review</x:v>
      </x:c>
    </x:row>
    <x:row r="167" ht="84" customHeight="1">
      <x:c r="A167" s="29" t="str">
        <x:v>BTB-028</x:v>
      </x:c>
      <x:c r="B167" s="62" t="n">
        <x:v>46350</x:v>
      </x:c>
      <x:c r="C167" s="64" t="str">
        <x:v>P1</x:v>
      </x:c>
      <x:c r="D167" s="64" t="n">
        <x:v>4</x:v>
      </x:c>
      <x:c r="E167" s="29" t="str">
        <x:v>Finish two sentences privately: “I am relieved that…” and “I am still sad about…”</x:v>
      </x:c>
      <x:c r="F167" s="29" t="str">
        <x:v>Slide 4 of 6. Finish two sentences privately: “I am relieved that…” and “I am still sad about…”</x:v>
      </x:c>
      <x:c r="G167" s="29" t="str">
        <x:v>editorial</x:v>
      </x:c>
      <x:c r="H167" s="29" t="str">
        <x:v>Draft — owner review</x:v>
      </x:c>
    </x:row>
    <x:row r="168" ht="84" customHeight="1">
      <x:c r="A168" s="29" t="str">
        <x:v>BTB-028</x:v>
      </x:c>
      <x:c r="B168" s="62" t="n">
        <x:v>46350</x:v>
      </x:c>
      <x:c r="C168" s="64" t="str">
        <x:v>P1</x:v>
      </x:c>
      <x:c r="D168" s="64" t="n">
        <x:v>5</x:v>
      </x:c>
      <x:c r="E168" s="29" t="str">
        <x:v>Notice what each sentence asks for: a boundary, support, practical help, or simply acknowledgment.</x:v>
      </x:c>
      <x:c r="F168" s="29" t="str">
        <x:v>Slide 5 of 6. Notice what each sentence asks for: a boundary, support, practical help, or simply acknowledgment.</x:v>
      </x:c>
      <x:c r="G168" s="29" t="str">
        <x:v>editorial</x:v>
      </x:c>
      <x:c r="H168" s="29" t="str">
        <x:v>Draft — owner review</x:v>
      </x:c>
    </x:row>
    <x:row r="169" ht="84" customHeight="1">
      <x:c r="A169" s="29" t="str">
        <x:v>BTB-028</x:v>
      </x:c>
      <x:c r="B169" s="62" t="n">
        <x:v>46350</x:v>
      </x:c>
      <x:c r="C169" s="64" t="str">
        <x:v>P1</x:v>
      </x:c>
      <x:c r="D169" s="64" t="n">
        <x:v>6</x:v>
      </x:c>
      <x:c r="E169" s="29" t="str">
        <x:v>Send this to someone who thinks mixed feelings mean they must have made the wrong choice.</x:v>
      </x:c>
      <x:c r="F169" s="29" t="str">
        <x:v>Slide 6 of 6. Send this to someone who thinks mixed feelings mean they must have made the wrong choice.</x:v>
      </x:c>
      <x:c r="G169" s="29" t="str">
        <x:v>editorial</x:v>
      </x:c>
      <x:c r="H169" s="29" t="str">
        <x:v>Draft — owner review</x:v>
      </x:c>
    </x:row>
    <x:row r="170" ht="84" customHeight="1">
      <x:c r="A170" s="29" t="str">
        <x:v>BTB-029</x:v>
      </x:c>
      <x:c r="B170" s="62" t="n">
        <x:v>46351</x:v>
      </x:c>
      <x:c r="C170" s="64" t="str">
        <x:v>P2</x:v>
      </x:c>
      <x:c r="D170" s="64" t="n">
        <x:v>1</x:v>
      </x:c>
      <x:c r="E170" s="29" t="str">
        <x:v>Rest is not something you earn by reaching the end of your problems.</x:v>
      </x:c>
      <x:c r="F170" s="29" t="str">
        <x:v>Slide 1 of 6. Rest is not something you earn by reaching the end of your problems.</x:v>
      </x:c>
      <x:c r="G170" s="29" t="str">
        <x:v>contrast</x:v>
      </x:c>
      <x:c r="H170" s="29" t="str">
        <x:v>Draft — owner review</x:v>
      </x:c>
    </x:row>
    <x:row r="171" ht="84" customHeight="1">
      <x:c r="A171" s="29" t="str">
        <x:v>BTB-029</x:v>
      </x:c>
      <x:c r="B171" s="62" t="n">
        <x:v>46351</x:v>
      </x:c>
      <x:c r="C171" s="64" t="str">
        <x:v>P2</x:v>
      </x:c>
      <x:c r="D171" s="64" t="n">
        <x:v>2</x:v>
      </x:c>
      <x:c r="E171" s="29" t="str">
        <x:v>An unresolved situation can keep generating another reason to stay alert and keep working.</x:v>
      </x:c>
      <x:c r="F171" s="29" t="str">
        <x:v>Slide 2 of 6. An unresolved situation can keep generating another reason to stay alert and keep working.</x:v>
      </x:c>
      <x:c r="G171" s="29" t="str">
        <x:v>contrast</x:v>
      </x:c>
      <x:c r="H171" s="29" t="str">
        <x:v>Draft — owner review</x:v>
      </x:c>
    </x:row>
    <x:row r="172" ht="84" customHeight="1">
      <x:c r="A172" s="29" t="str">
        <x:v>BTB-029</x:v>
      </x:c>
      <x:c r="B172" s="62" t="n">
        <x:v>46351</x:v>
      </x:c>
      <x:c r="C172" s="64" t="str">
        <x:v>P2</x:v>
      </x:c>
      <x:c r="D172" s="64" t="n">
        <x:v>3</x:v>
      </x:c>
      <x:c r="E172" s="29" t="str">
        <x:v>For a manageable pause, identify what genuinely needs attention now and what can wait until a named time.</x:v>
      </x:c>
      <x:c r="F172" s="29" t="str">
        <x:v>Slide 3 of 6. For a manageable pause, identify what genuinely needs attention now and what can wait until a named time.</x:v>
      </x:c>
      <x:c r="G172" s="29" t="str">
        <x:v>contrast</x:v>
      </x:c>
      <x:c r="H172" s="29" t="str">
        <x:v>Draft — owner review</x:v>
      </x:c>
    </x:row>
    <x:row r="173" ht="84" customHeight="1">
      <x:c r="A173" s="29" t="str">
        <x:v>BTB-029</x:v>
      </x:c>
      <x:c r="B173" s="62" t="n">
        <x:v>46351</x:v>
      </x:c>
      <x:c r="C173" s="64" t="str">
        <x:v>P2</x:v>
      </x:c>
      <x:c r="D173" s="64" t="n">
        <x:v>4</x:v>
      </x:c>
      <x:c r="E173" s="29" t="str">
        <x:v>Write the next action down so pausing does not mean forgetting it.</x:v>
      </x:c>
      <x:c r="F173" s="29" t="str">
        <x:v>Slide 4 of 6. Write the next action down so pausing does not mean forgetting it.</x:v>
      </x:c>
      <x:c r="G173" s="29" t="str">
        <x:v>contrast</x:v>
      </x:c>
      <x:c r="H173" s="29" t="str">
        <x:v>Draft — owner review</x:v>
      </x:c>
    </x:row>
    <x:row r="174" ht="84" customHeight="1">
      <x:c r="A174" s="29" t="str">
        <x:v>BTB-029</x:v>
      </x:c>
      <x:c r="B174" s="62" t="n">
        <x:v>46351</x:v>
      </x:c>
      <x:c r="C174" s="64" t="str">
        <x:v>P2</x:v>
      </x:c>
      <x:c r="D174" s="64" t="n">
        <x:v>5</x:v>
      </x:c>
      <x:c r="E174" s="29" t="str">
        <x:v>Choose a restful activity that suits you. Persistent sleep or functioning difficulties deserve qualified support.</x:v>
      </x:c>
      <x:c r="F174" s="29" t="str">
        <x:v>Slide 5 of 6. Choose a restful activity that suits you. Persistent sleep or functioning difficulties deserve qualified support.</x:v>
      </x:c>
      <x:c r="G174" s="29" t="str">
        <x:v>contrast</x:v>
      </x:c>
      <x:c r="H174" s="29" t="str">
        <x:v>Draft — owner review</x:v>
      </x:c>
    </x:row>
    <x:row r="175" ht="84" customHeight="1">
      <x:c r="A175" s="29" t="str">
        <x:v>BTB-029</x:v>
      </x:c>
      <x:c r="B175" s="62" t="n">
        <x:v>46351</x:v>
      </x:c>
      <x:c r="C175" s="64" t="str">
        <x:v>P2</x:v>
      </x:c>
      <x:c r="D175" s="64" t="n">
        <x:v>6</x:v>
      </x:c>
      <x:c r="E175" s="29" t="str">
        <x:v>Save this when your mind insists that stopping means giving up.</x:v>
      </x:c>
      <x:c r="F175" s="29" t="str">
        <x:v>Slide 6 of 6. Save this when your mind insists that stopping means giving up.</x:v>
      </x:c>
      <x:c r="G175" s="29" t="str">
        <x:v>contrast</x:v>
      </x:c>
      <x:c r="H175" s="29" t="str">
        <x:v>Draft — owner review</x:v>
      </x:c>
    </x:row>
    <x:row r="176" ht="84" customHeight="1">
      <x:c r="A176" s="29" t="str">
        <x:v>BTB-030</x:v>
      </x:c>
      <x:c r="B176" s="62" t="n">
        <x:v>46352</x:v>
      </x:c>
      <x:c r="C176" s="64" t="str">
        <x:v>P6</x:v>
      </x:c>
      <x:c r="D176" s="64" t="n">
        <x:v>1</x:v>
      </x:c>
      <x:c r="E176" s="29" t="str">
        <x:v>This page will not turn my private life into a public trial.</x:v>
      </x:c>
      <x:c r="F176" s="29" t="str">
        <x:v>Slide 1 of 6. This page will not turn my private life into a public trial.</x:v>
      </x:c>
      <x:c r="G176" s="29" t="str">
        <x:v>letter</x:v>
      </x:c>
      <x:c r="H176" s="29" t="str">
        <x:v>Draft — owner review</x:v>
      </x:c>
    </x:row>
    <x:row r="177" ht="84" customHeight="1">
      <x:c r="A177" s="29" t="str">
        <x:v>BTB-030</x:v>
      </x:c>
      <x:c r="B177" s="62" t="n">
        <x:v>46352</x:v>
      </x:c>
      <x:c r="C177" s="64" t="str">
        <x:v>P6</x:v>
      </x:c>
      <x:c r="D177" s="64" t="n">
        <x:v>2</x:v>
      </x:c>
      <x:c r="E177" s="29" t="str">
        <x:v>Lived experience gives this work a starting point. It does not give me permission to expose everyone in the story.</x:v>
      </x:c>
      <x:c r="F177" s="29" t="str">
        <x:v>Slide 2 of 6. Lived experience gives this work a starting point. It does not give me permission to expose everyone in the story.</x:v>
      </x:c>
      <x:c r="G177" s="29" t="str">
        <x:v>letter</x:v>
      </x:c>
      <x:c r="H177" s="29" t="str">
        <x:v>Draft — owner review</x:v>
      </x:c>
    </x:row>
    <x:row r="178" ht="84" customHeight="1">
      <x:c r="A178" s="29" t="str">
        <x:v>BTB-030</x:v>
      </x:c>
      <x:c r="B178" s="62" t="n">
        <x:v>46352</x:v>
      </x:c>
      <x:c r="C178" s="64" t="str">
        <x:v>P6</x:v>
      </x:c>
      <x:c r="D178" s="64" t="n">
        <x:v>3</x:v>
      </x:c>
      <x:c r="E178" s="29" t="str">
        <x:v>I will share reflections, not private messages, children's details, or claims for strangers to judge.</x:v>
      </x:c>
      <x:c r="F178" s="29" t="str">
        <x:v>Slide 3 of 6. I will share reflections, not private messages, children's details, or claims for strangers to judge.</x:v>
      </x:c>
      <x:c r="G178" s="29" t="str">
        <x:v>letter</x:v>
      </x:c>
      <x:c r="H178" s="29" t="str">
        <x:v>Draft — owner review</x:v>
      </x:c>
    </x:row>
    <x:row r="179" ht="84" customHeight="1">
      <x:c r="A179" s="29" t="str">
        <x:v>BTB-030</x:v>
      </x:c>
      <x:c r="B179" s="62" t="n">
        <x:v>46352</x:v>
      </x:c>
      <x:c r="C179" s="64" t="str">
        <x:v>P6</x:v>
      </x:c>
      <x:c r="D179" s="64" t="n">
        <x:v>4</x:v>
      </x:c>
      <x:c r="E179" s="29" t="str">
        <x:v>Suggested tools will be described as tools, not rewritten as things I definitely did.</x:v>
      </x:c>
      <x:c r="F179" s="29" t="str">
        <x:v>Slide 4 of 6. Suggested tools will be described as tools, not rewritten as things I definitely did.</x:v>
      </x:c>
      <x:c r="G179" s="29" t="str">
        <x:v>letter</x:v>
      </x:c>
      <x:c r="H179" s="29" t="str">
        <x:v>Draft — owner review</x:v>
      </x:c>
    </x:row>
    <x:row r="180" ht="84" customHeight="1">
      <x:c r="A180" s="29" t="str">
        <x:v>BTB-030</x:v>
      </x:c>
      <x:c r="B180" s="62" t="n">
        <x:v>46352</x:v>
      </x:c>
      <x:c r="C180" s="64" t="str">
        <x:v>P6</x:v>
      </x:c>
      <x:c r="D180" s="64" t="n">
        <x:v>5</x:v>
      </x:c>
      <x:c r="E180" s="29" t="str">
        <x:v>Hope here will not depend on another person being the villain or on pretending the rebuild is finished.</x:v>
      </x:c>
      <x:c r="F180" s="29" t="str">
        <x:v>Slide 5 of 6. Hope here will not depend on another person being the villain or on pretending the rebuild is finished.</x:v>
      </x:c>
      <x:c r="G180" s="29" t="str">
        <x:v>letter</x:v>
      </x:c>
      <x:c r="H180" s="29" t="str">
        <x:v>Draft — owner review</x:v>
      </x:c>
    </x:row>
    <x:row r="181" ht="84" customHeight="1">
      <x:c r="A181" s="29" t="str">
        <x:v>BTB-030</x:v>
      </x:c>
      <x:c r="B181" s="62" t="n">
        <x:v>46352</x:v>
      </x:c>
      <x:c r="C181" s="64" t="str">
        <x:v>P6</x:v>
      </x:c>
      <x:c r="D181" s="64" t="n">
        <x:v>6</x:v>
      </x:c>
      <x:c r="E181" s="29" t="str">
        <x:v>Follow Broken to Balanced for useful honesty, with boundaries.</x:v>
      </x:c>
      <x:c r="F181" s="29" t="str">
        <x:v>Slide 6 of 6. Follow Broken to Balanced for useful honesty, with boundaries.</x:v>
      </x:c>
      <x:c r="G181" s="29" t="str">
        <x:v>letter</x:v>
      </x:c>
      <x:c r="H181" s="29" t="str">
        <x:v>Draft — owner review</x:v>
      </x:c>
    </x:row>
    <x:row r="182" ht="84" customHeight="1">
      <x:c r="A182" s="29" t="str">
        <x:v>BTB-031</x:v>
      </x:c>
      <x:c r="B182" s="62" t="n">
        <x:v>46353</x:v>
      </x:c>
      <x:c r="C182" s="64" t="str">
        <x:v>P1</x:v>
      </x:c>
      <x:c r="D182" s="64" t="n">
        <x:v>1</x:v>
      </x:c>
      <x:c r="E182" s="29" t="str">
        <x:v>You do not need to hate your old life to build a different one.</x:v>
      </x:c>
      <x:c r="F182" s="29" t="str">
        <x:v>Slide 1 of 6. You do not need to hate your old life to build a different one.</x:v>
      </x:c>
      <x:c r="G182" s="29" t="str">
        <x:v>editorial</x:v>
      </x:c>
      <x:c r="H182" s="29" t="str">
        <x:v>Draft — owner review</x:v>
      </x:c>
    </x:row>
    <x:row r="183" ht="84" customHeight="1">
      <x:c r="A183" s="29" t="str">
        <x:v>BTB-031</x:v>
      </x:c>
      <x:c r="B183" s="62" t="n">
        <x:v>46353</x:v>
      </x:c>
      <x:c r="C183" s="64" t="str">
        <x:v>P1</x:v>
      </x:c>
      <x:c r="D183" s="64" t="n">
        <x:v>2</x:v>
      </x:c>
      <x:c r="E183" s="29" t="str">
        <x:v>Some memories may still be good. Some parts may still hurt. Neither needs to erase the other.</x:v>
      </x:c>
      <x:c r="F183" s="29" t="str">
        <x:v>Slide 2 of 6. Some memories may still be good. Some parts may still hurt. Neither needs to erase the other.</x:v>
      </x:c>
      <x:c r="G183" s="29" t="str">
        <x:v>editorial</x:v>
      </x:c>
      <x:c r="H183" s="29" t="str">
        <x:v>Draft — owner review</x:v>
      </x:c>
    </x:row>
    <x:row r="184" ht="84" customHeight="1">
      <x:c r="A184" s="29" t="str">
        <x:v>BTB-031</x:v>
      </x:c>
      <x:c r="B184" s="62" t="n">
        <x:v>46353</x:v>
      </x:c>
      <x:c r="C184" s="64" t="str">
        <x:v>P1</x:v>
      </x:c>
      <x:c r="D184" s="64" t="n">
        <x:v>3</x:v>
      </x:c>
      <x:c r="E184" s="29" t="str">
        <x:v>You can appreciate what mattered without treating the past as a plan you must return to.</x:v>
      </x:c>
      <x:c r="F184" s="29" t="str">
        <x:v>Slide 3 of 6. You can appreciate what mattered without treating the past as a plan you must return to.</x:v>
      </x:c>
      <x:c r="G184" s="29" t="str">
        <x:v>editorial</x:v>
      </x:c>
      <x:c r="H184" s="29" t="str">
        <x:v>Draft — owner review</x:v>
      </x:c>
    </x:row>
    <x:row r="185" ht="84" customHeight="1">
      <x:c r="A185" s="29" t="str">
        <x:v>BTB-031</x:v>
      </x:c>
      <x:c r="B185" s="62" t="n">
        <x:v>46353</x:v>
      </x:c>
      <x:c r="C185" s="64" t="str">
        <x:v>P1</x:v>
      </x:c>
      <x:c r="D185" s="64" t="n">
        <x:v>4</x:v>
      </x:c>
      <x:c r="E185" s="29" t="str">
        <x:v>Name one thing worth carrying forward: a value, an interest, or something you learned about yourself.</x:v>
      </x:c>
      <x:c r="F185" s="29" t="str">
        <x:v>Slide 4 of 6. Name one thing worth carrying forward: a value, an interest, or something you learned about yourself.</x:v>
      </x:c>
      <x:c r="G185" s="29" t="str">
        <x:v>editorial</x:v>
      </x:c>
      <x:c r="H185" s="29" t="str">
        <x:v>Draft — owner review</x:v>
      </x:c>
    </x:row>
    <x:row r="186" ht="84" customHeight="1">
      <x:c r="A186" s="29" t="str">
        <x:v>BTB-031</x:v>
      </x:c>
      <x:c r="B186" s="62" t="n">
        <x:v>46353</x:v>
      </x:c>
      <x:c r="C186" s="64" t="str">
        <x:v>P1</x:v>
      </x:c>
      <x:c r="D186" s="64" t="n">
        <x:v>5</x:v>
      </x:c>
      <x:c r="E186" s="29" t="str">
        <x:v>Name one thing you do not want to repeat. Let both answers inform your next choices.</x:v>
      </x:c>
      <x:c r="F186" s="29" t="str">
        <x:v>Slide 5 of 6. Name one thing you do not want to repeat. Let both answers inform your next choices.</x:v>
      </x:c>
      <x:c r="G186" s="29" t="str">
        <x:v>editorial</x:v>
      </x:c>
      <x:c r="H186" s="29" t="str">
        <x:v>Draft — owner review</x:v>
      </x:c>
    </x:row>
    <x:row r="187" ht="84" customHeight="1">
      <x:c r="A187" s="29" t="str">
        <x:v>BTB-031</x:v>
      </x:c>
      <x:c r="B187" s="62" t="n">
        <x:v>46353</x:v>
      </x:c>
      <x:c r="C187" s="64" t="str">
        <x:v>P1</x:v>
      </x:c>
      <x:c r="D187" s="64" t="n">
        <x:v>6</x:v>
      </x:c>
      <x:c r="E187" s="29" t="str">
        <x:v>Share this with someone who feels pressured to turn every memory into a mistake.</x:v>
      </x:c>
      <x:c r="F187" s="29" t="str">
        <x:v>Slide 6 of 6. Share this with someone who feels pressured to turn every memory into a mistake.</x:v>
      </x:c>
      <x:c r="G187" s="29" t="str">
        <x:v>editorial</x:v>
      </x:c>
      <x:c r="H187" s="29" t="str">
        <x:v>Draft — owner review</x:v>
      </x:c>
    </x:row>
    <x:row r="188" ht="84" customHeight="1">
      <x:c r="A188" s="29" t="str">
        <x:v>BTB-032</x:v>
      </x:c>
      <x:c r="B188" s="62" t="n">
        <x:v>46354</x:v>
      </x:c>
      <x:c r="C188" s="64" t="str">
        <x:v>P2</x:v>
      </x:c>
      <x:c r="D188" s="64" t="n">
        <x:v>1</x:v>
      </x:c>
      <x:c r="E188" s="29" t="str">
        <x:v>A feeling can be real without every thought around it being accurate.</x:v>
      </x:c>
      <x:c r="F188" s="29" t="str">
        <x:v>Slide 1 of 6. A feeling can be real without every thought around it being accurate.</x:v>
      </x:c>
      <x:c r="G188" s="29" t="str">
        <x:v>script</x:v>
      </x:c>
      <x:c r="H188" s="29" t="str">
        <x:v>Draft — owner review</x:v>
      </x:c>
    </x:row>
    <x:row r="189" ht="84" customHeight="1">
      <x:c r="A189" s="29" t="str">
        <x:v>BTB-032</x:v>
      </x:c>
      <x:c r="B189" s="62" t="n">
        <x:v>46354</x:v>
      </x:c>
      <x:c r="C189" s="64" t="str">
        <x:v>P2</x:v>
      </x:c>
      <x:c r="D189" s="64" t="n">
        <x:v>2</x:v>
      </x:c>
      <x:c r="E189" s="29" t="str">
        <x:v>“I feel unwanted” and “Nobody will ever want me” are not the same statement.</x:v>
      </x:c>
      <x:c r="F189" s="29" t="str">
        <x:v>Slide 2 of 6. “I feel unwanted” and “Nobody will ever want me” are not the same statement.</x:v>
      </x:c>
      <x:c r="G189" s="29" t="str">
        <x:v>script</x:v>
      </x:c>
      <x:c r="H189" s="29" t="str">
        <x:v>Draft — owner review</x:v>
      </x:c>
    </x:row>
    <x:row r="190" ht="84" customHeight="1">
      <x:c r="A190" s="29" t="str">
        <x:v>BTB-032</x:v>
      </x:c>
      <x:c r="B190" s="62" t="n">
        <x:v>46354</x:v>
      </x:c>
      <x:c r="C190" s="64" t="str">
        <x:v>P2</x:v>
      </x:c>
      <x:c r="D190" s="64" t="n">
        <x:v>3</x:v>
      </x:c>
      <x:c r="E190" s="29" t="str">
        <x:v>Try writing: “Right now, I am feeling…” without adding a prediction about the rest of your life.</x:v>
      </x:c>
      <x:c r="F190" s="29" t="str">
        <x:v>Slide 3 of 6. Try writing: “Right now, I am feeling…” without adding a prediction about the rest of your life.</x:v>
      </x:c>
      <x:c r="G190" s="29" t="str">
        <x:v>script</x:v>
      </x:c>
      <x:c r="H190" s="29" t="str">
        <x:v>Draft — owner review</x:v>
      </x:c>
    </x:row>
    <x:row r="191" ht="84" customHeight="1">
      <x:c r="A191" s="29" t="str">
        <x:v>BTB-032</x:v>
      </x:c>
      <x:c r="B191" s="62" t="n">
        <x:v>46354</x:v>
      </x:c>
      <x:c r="C191" s="64" t="str">
        <x:v>P2</x:v>
      </x:c>
      <x:c r="D191" s="64" t="n">
        <x:v>4</x:v>
      </x:c>
      <x:c r="E191" s="29" t="str">
        <x:v>Then ask what happened today, rather than turning the moment into a permanent identity.</x:v>
      </x:c>
      <x:c r="F191" s="29" t="str">
        <x:v>Slide 4 of 6. Then ask what happened today, rather than turning the moment into a permanent identity.</x:v>
      </x:c>
      <x:c r="G191" s="29" t="str">
        <x:v>script</x:v>
      </x:c>
      <x:c r="H191" s="29" t="str">
        <x:v>Draft — owner review</x:v>
      </x:c>
    </x:row>
    <x:row r="192" ht="84" customHeight="1">
      <x:c r="A192" s="29" t="str">
        <x:v>BTB-032</x:v>
      </x:c>
      <x:c r="B192" s="62" t="n">
        <x:v>46354</x:v>
      </x:c>
      <x:c r="C192" s="64" t="str">
        <x:v>P2</x:v>
      </x:c>
      <x:c r="D192" s="64" t="n">
        <x:v>5</x:v>
      </x:c>
      <x:c r="E192" s="29" t="str">
        <x:v>Bring recurring or overwhelming thoughts to a qualified professional. You do not have to untangle everything alone.</x:v>
      </x:c>
      <x:c r="F192" s="29" t="str">
        <x:v>Slide 5 of 6. Bring recurring or overwhelming thoughts to a qualified professional. You do not have to untangle everything alone.</x:v>
      </x:c>
      <x:c r="G192" s="29" t="str">
        <x:v>script</x:v>
      </x:c>
      <x:c r="H192" s="29" t="str">
        <x:v>Draft — owner review</x:v>
      </x:c>
    </x:row>
    <x:row r="193" ht="84" customHeight="1">
      <x:c r="A193" s="29" t="str">
        <x:v>BTB-032</x:v>
      </x:c>
      <x:c r="B193" s="62" t="n">
        <x:v>46354</x:v>
      </x:c>
      <x:c r="C193" s="64" t="str">
        <x:v>P2</x:v>
      </x:c>
      <x:c r="D193" s="64" t="n">
        <x:v>6</x:v>
      </x:c>
      <x:c r="E193" s="29" t="str">
        <x:v>Save the sentence starter for a moment that begins sounding like forever.</x:v>
      </x:c>
      <x:c r="F193" s="29" t="str">
        <x:v>Slide 6 of 6. Save the sentence starter for a moment that begins sounding like forever.</x:v>
      </x:c>
      <x:c r="G193" s="29" t="str">
        <x:v>script</x:v>
      </x:c>
      <x:c r="H193" s="29" t="str">
        <x:v>Draft — owner review</x:v>
      </x:c>
    </x:row>
    <x:row r="194" ht="84" customHeight="1">
      <x:c r="A194" s="29" t="str">
        <x:v>BTB-033</x:v>
      </x:c>
      <x:c r="B194" s="62" t="n">
        <x:v>46355</x:v>
      </x:c>
      <x:c r="C194" s="64" t="str">
        <x:v>P3</x:v>
      </x:c>
      <x:c r="D194" s="64" t="n">
        <x:v>1</x:v>
      </x:c>
      <x:c r="E194" s="29" t="str">
        <x:v>A shared calendar needs clear facts, not a perfect relationship.</x:v>
      </x:c>
      <x:c r="F194" s="29" t="str">
        <x:v>Slide 1 of 6. A shared calendar needs clear facts, not a perfect relationship.</x:v>
      </x:c>
      <x:c r="G194" s="29" t="str">
        <x:v>checklist</x:v>
      </x:c>
      <x:c r="H194" s="29" t="str">
        <x:v>Draft — owner review</x:v>
      </x:c>
    </x:row>
    <x:row r="195" ht="84" customHeight="1">
      <x:c r="A195" s="29" t="str">
        <x:v>BTB-033</x:v>
      </x:c>
      <x:c r="B195" s="62" t="n">
        <x:v>46355</x:v>
      </x:c>
      <x:c r="C195" s="64" t="str">
        <x:v>P3</x:v>
      </x:c>
      <x:c r="D195" s="64" t="n">
        <x:v>2</x:v>
      </x:c>
      <x:c r="E195" s="29" t="str">
        <x:v>Dates, locations, school notices, and activity details can become difficult when the communication around them is strained.</x:v>
      </x:c>
      <x:c r="F195" s="29" t="str">
        <x:v>Slide 2 of 6. Dates, locations, school notices, and activity details can become difficult when the communication around them is strained.</x:v>
      </x:c>
      <x:c r="G195" s="29" t="str">
        <x:v>checklist</x:v>
      </x:c>
      <x:c r="H195" s="29" t="str">
        <x:v>Draft — owner review</x:v>
      </x:c>
    </x:row>
    <x:row r="196" ht="84" customHeight="1">
      <x:c r="A196" s="29" t="str">
        <x:v>BTB-033</x:v>
      </x:c>
      <x:c r="B196" s="62" t="n">
        <x:v>46355</x:v>
      </x:c>
      <x:c r="C196" s="64" t="str">
        <x:v>P3</x:v>
      </x:c>
      <x:c r="D196" s="64" t="n">
        <x:v>3</x:v>
      </x:c>
      <x:c r="E196" s="29" t="str">
        <x:v>Record what is confirmed. Mark what is proposed. Do not present a request as an agreement.</x:v>
      </x:c>
      <x:c r="F196" s="29" t="str">
        <x:v>Slide 3 of 6. Record what is confirmed. Mark what is proposed. Do not present a request as an agreement.</x:v>
      </x:c>
      <x:c r="G196" s="29" t="str">
        <x:v>checklist</x:v>
      </x:c>
      <x:c r="H196" s="29" t="str">
        <x:v>Draft — owner review</x:v>
      </x:c>
    </x:row>
    <x:row r="197" ht="84" customHeight="1">
      <x:c r="A197" s="29" t="str">
        <x:v>BTB-033</x:v>
      </x:c>
      <x:c r="B197" s="62" t="n">
        <x:v>46355</x:v>
      </x:c>
      <x:c r="C197" s="64" t="str">
        <x:v>P3</x:v>
      </x:c>
      <x:c r="D197" s="64" t="n">
        <x:v>4</x:v>
      </x:c>
      <x:c r="E197" s="29" t="str">
        <x:v>Send changes through the agreed adult channel and confirm any necessary consent or notice.</x:v>
      </x:c>
      <x:c r="F197" s="29" t="str">
        <x:v>Slide 4 of 6. Send changes through the agreed adult channel and confirm any necessary consent or notice.</x:v>
      </x:c>
      <x:c r="G197" s="29" t="str">
        <x:v>checklist</x:v>
      </x:c>
      <x:c r="H197" s="29" t="str">
        <x:v>Draft — owner review</x:v>
      </x:c>
    </x:row>
    <x:row r="198" ht="84" customHeight="1">
      <x:c r="A198" s="29" t="str">
        <x:v>BTB-033</x:v>
      </x:c>
      <x:c r="B198" s="62" t="n">
        <x:v>46355</x:v>
      </x:c>
      <x:c r="C198" s="64" t="str">
        <x:v>P3</x:v>
      </x:c>
      <x:c r="D198" s="64" t="n">
        <x:v>5</x:v>
      </x:c>
      <x:c r="E198" s="29" t="str">
        <x:v>Follow the arrangements that apply to your family. Seek qualified guidance when the responsibilities are unclear.</x:v>
      </x:c>
      <x:c r="F198" s="29" t="str">
        <x:v>Slide 5 of 6. Follow the arrangements that apply to your family. Seek qualified guidance when the responsibilities are unclear.</x:v>
      </x:c>
      <x:c r="G198" s="29" t="str">
        <x:v>checklist</x:v>
      </x:c>
      <x:c r="H198" s="29" t="str">
        <x:v>Draft — owner review</x:v>
      </x:c>
    </x:row>
    <x:row r="199" ht="84" customHeight="1">
      <x:c r="A199" s="29" t="str">
        <x:v>BTB-033</x:v>
      </x:c>
      <x:c r="B199" s="62" t="n">
        <x:v>46355</x:v>
      </x:c>
      <x:c r="C199" s="64" t="str">
        <x:v>P3</x:v>
      </x:c>
      <x:c r="D199" s="64" t="n">
        <x:v>6</x:v>
      </x:c>
      <x:c r="E199" s="29" t="str">
        <x:v>Save this distinction: proposed, confirmed, changed. Three words that make a calendar clearer.</x:v>
      </x:c>
      <x:c r="F199" s="29" t="str">
        <x:v>Slide 6 of 6. Save this distinction: proposed, confirmed, changed. Three words that make a calendar clearer.</x:v>
      </x:c>
      <x:c r="G199" s="29" t="str">
        <x:v>checklist</x:v>
      </x:c>
      <x:c r="H199" s="29" t="str">
        <x:v>Draft — owner review</x:v>
      </x:c>
    </x:row>
    <x:row r="200" ht="84" customHeight="1">
      <x:c r="A200" s="29" t="str">
        <x:v>BTB-034</x:v>
      </x:c>
      <x:c r="B200" s="62" t="n">
        <x:v>46356</x:v>
      </x:c>
      <x:c r="C200" s="64" t="str">
        <x:v>P4</x:v>
      </x:c>
      <x:c r="D200" s="64" t="n">
        <x:v>1</x:v>
      </x:c>
      <x:c r="E200" s="29" t="str">
        <x:v>Being understood is not the same as being agreed with.</x:v>
      </x:c>
      <x:c r="F200" s="29" t="str">
        <x:v>Slide 1 of 6. Being understood is not the same as being agreed with.</x:v>
      </x:c>
      <x:c r="G200" s="29" t="str">
        <x:v>contrast</x:v>
      </x:c>
      <x:c r="H200" s="29" t="str">
        <x:v>Draft — owner review</x:v>
      </x:c>
    </x:row>
    <x:row r="201" ht="84" customHeight="1">
      <x:c r="A201" s="29" t="str">
        <x:v>BTB-034</x:v>
      </x:c>
      <x:c r="B201" s="62" t="n">
        <x:v>46356</x:v>
      </x:c>
      <x:c r="C201" s="64" t="str">
        <x:v>P4</x:v>
      </x:c>
      <x:c r="D201" s="64" t="n">
        <x:v>2</x:v>
      </x:c>
      <x:c r="E201" s="29" t="str">
        <x:v>Someone can hear your pain and still see part of the situation differently.</x:v>
      </x:c>
      <x:c r="F201" s="29" t="str">
        <x:v>Slide 2 of 6. Someone can hear your pain and still see part of the situation differently.</x:v>
      </x:c>
      <x:c r="G201" s="29" t="str">
        <x:v>contrast</x:v>
      </x:c>
      <x:c r="H201" s="29" t="str">
        <x:v>Draft — owner review</x:v>
      </x:c>
    </x:row>
    <x:row r="202" ht="84" customHeight="1">
      <x:c r="A202" s="29" t="str">
        <x:v>BTB-034</x:v>
      </x:c>
      <x:c r="B202" s="62" t="n">
        <x:v>46356</x:v>
      </x:c>
      <x:c r="C202" s="64" t="str">
        <x:v>P4</x:v>
      </x:c>
      <x:c r="D202" s="64" t="n">
        <x:v>3</x:v>
      </x:c>
      <x:c r="E202" s="29" t="str">
        <x:v>In a respectful conversation, ask for the kind of response you need: listening, perspective, or practical help.</x:v>
      </x:c>
      <x:c r="F202" s="29" t="str">
        <x:v>Slide 3 of 6. In a respectful conversation, ask for the kind of response you need: listening, perspective, or practical help.</x:v>
      </x:c>
      <x:c r="G202" s="29" t="str">
        <x:v>contrast</x:v>
      </x:c>
      <x:c r="H202" s="29" t="str">
        <x:v>Draft — owner review</x:v>
      </x:c>
    </x:row>
    <x:row r="203" ht="84" customHeight="1">
      <x:c r="A203" s="29" t="str">
        <x:v>BTB-034</x:v>
      </x:c>
      <x:c r="B203" s="62" t="n">
        <x:v>46356</x:v>
      </x:c>
      <x:c r="C203" s="64" t="str">
        <x:v>P4</x:v>
      </x:c>
      <x:c r="D203" s="64" t="n">
        <x:v>4</x:v>
      </x:c>
      <x:c r="E203" s="29" t="str">
        <x:v>Try: “Could you hear me out first? Then I would like your honest view.”</x:v>
      </x:c>
      <x:c r="F203" s="29" t="str">
        <x:v>Slide 4 of 6. Try: “Could you hear me out first? Then I would like your honest view.”</x:v>
      </x:c>
      <x:c r="G203" s="29" t="str">
        <x:v>contrast</x:v>
      </x:c>
      <x:c r="H203" s="29" t="str">
        <x:v>Draft — owner review</x:v>
      </x:c>
    </x:row>
    <x:row r="204" ht="84" customHeight="1">
      <x:c r="A204" s="29" t="str">
        <x:v>BTB-034</x:v>
      </x:c>
      <x:c r="B204" s="62" t="n">
        <x:v>46356</x:v>
      </x:c>
      <x:c r="C204" s="64" t="str">
        <x:v>P4</x:v>
      </x:c>
      <x:c r="D204" s="64" t="n">
        <x:v>5</x:v>
      </x:c>
      <x:c r="E204" s="29" t="str">
        <x:v>Make room for their answer without accepting disrespect. Neither person has to disappear for the conversation to work.</x:v>
      </x:c>
      <x:c r="F204" s="29" t="str">
        <x:v>Slide 5 of 6. Make room for their answer without accepting disrespect. Neither person has to disappear for the conversation to work.</x:v>
      </x:c>
      <x:c r="G204" s="29" t="str">
        <x:v>contrast</x:v>
      </x:c>
      <x:c r="H204" s="29" t="str">
        <x:v>Draft — owner review</x:v>
      </x:c>
    </x:row>
    <x:row r="205" ht="84" customHeight="1">
      <x:c r="A205" s="29" t="str">
        <x:v>BTB-034</x:v>
      </x:c>
      <x:c r="B205" s="62" t="n">
        <x:v>46356</x:v>
      </x:c>
      <x:c r="C205" s="64" t="str">
        <x:v>P4</x:v>
      </x:c>
      <x:c r="D205" s="64" t="n">
        <x:v>6</x:v>
      </x:c>
      <x:c r="E205" s="29" t="str">
        <x:v>Send this to someone who wants honesty without turning every difference into rejection.</x:v>
      </x:c>
      <x:c r="F205" s="29" t="str">
        <x:v>Slide 6 of 6. Send this to someone who wants honesty without turning every difference into rejection.</x:v>
      </x:c>
      <x:c r="G205" s="29" t="str">
        <x:v>contrast</x:v>
      </x:c>
      <x:c r="H205" s="29" t="str">
        <x:v>Draft — owner review</x:v>
      </x:c>
    </x:row>
    <x:row r="206" ht="84" customHeight="1">
      <x:c r="A206" s="29" t="str">
        <x:v>BTB-035</x:v>
      </x:c>
      <x:c r="B206" s="62" t="n">
        <x:v>46357</x:v>
      </x:c>
      <x:c r="C206" s="64" t="str">
        <x:v>P5</x:v>
      </x:c>
      <x:c r="D206" s="64" t="n">
        <x:v>1</x:v>
      </x:c>
      <x:c r="E206" s="29" t="str">
        <x:v>When your head is full, give your week fewer moving parts.</x:v>
      </x:c>
      <x:c r="F206" s="29" t="str">
        <x:v>Slide 1 of 6. When your head is full, give your week fewer moving parts.</x:v>
      </x:c>
      <x:c r="G206" s="29" t="str">
        <x:v>checklist</x:v>
      </x:c>
      <x:c r="H206" s="29" t="str">
        <x:v>Draft — owner review</x:v>
      </x:c>
    </x:row>
    <x:row r="207" ht="84" customHeight="1">
      <x:c r="A207" s="29" t="str">
        <x:v>BTB-035</x:v>
      </x:c>
      <x:c r="B207" s="62" t="n">
        <x:v>46357</x:v>
      </x:c>
      <x:c r="C207" s="64" t="str">
        <x:v>P5</x:v>
      </x:c>
      <x:c r="D207" s="64" t="n">
        <x:v>2</x:v>
      </x:c>
      <x:c r="E207" s="29" t="str">
        <x:v>Rebuilding does not have to mean adding five new habits at once.</x:v>
      </x:c>
      <x:c r="F207" s="29" t="str">
        <x:v>Slide 2 of 6. Rebuilding does not have to mean adding five new habits at once.</x:v>
      </x:c>
      <x:c r="G207" s="29" t="str">
        <x:v>checklist</x:v>
      </x:c>
      <x:c r="H207" s="29" t="str">
        <x:v>Draft — owner review</x:v>
      </x:c>
    </x:row>
    <x:row r="208" ht="84" customHeight="1">
      <x:c r="A208" s="29" t="str">
        <x:v>BTB-035</x:v>
      </x:c>
      <x:c r="B208" s="62" t="n">
        <x:v>46357</x:v>
      </x:c>
      <x:c r="C208" s="64" t="str">
        <x:v>P5</x:v>
      </x:c>
      <x:c r="D208" s="64" t="n">
        <x:v>3</x:v>
      </x:c>
      <x:c r="E208" s="29" t="str">
        <x:v>Choose one repeatable meal, one place for essential items, and one time to check tomorrow's commitments.</x:v>
      </x:c>
      <x:c r="F208" s="29" t="str">
        <x:v>Slide 3 of 6. Choose one repeatable meal, one place for essential items, and one time to check tomorrow's commitments.</x:v>
      </x:c>
      <x:c r="G208" s="29" t="str">
        <x:v>checklist</x:v>
      </x:c>
      <x:c r="H208" s="29" t="str">
        <x:v>Draft — owner review</x:v>
      </x:c>
    </x:row>
    <x:row r="209" ht="84" customHeight="1">
      <x:c r="A209" s="29" t="str">
        <x:v>BTB-035</x:v>
      </x:c>
      <x:c r="B209" s="62" t="n">
        <x:v>46357</x:v>
      </x:c>
      <x:c r="C209" s="64" t="str">
        <x:v>P5</x:v>
      </x:c>
      <x:c r="D209" s="64" t="n">
        <x:v>4</x:v>
      </x:c>
      <x:c r="E209" s="29" t="str">
        <x:v>Keep what already works. Simplify one recurring source of friction rather than redesigning the whole week.</x:v>
      </x:c>
      <x:c r="F209" s="29" t="str">
        <x:v>Slide 4 of 6. Keep what already works. Simplify one recurring source of friction rather than redesigning the whole week.</x:v>
      </x:c>
      <x:c r="G209" s="29" t="str">
        <x:v>checklist</x:v>
      </x:c>
      <x:c r="H209" s="29" t="str">
        <x:v>Draft — owner review</x:v>
      </x:c>
    </x:row>
    <x:row r="210" ht="84" customHeight="1">
      <x:c r="A210" s="29" t="str">
        <x:v>BTB-035</x:v>
      </x:c>
      <x:c r="B210" s="62" t="n">
        <x:v>46357</x:v>
      </x:c>
      <x:c r="C210" s="64" t="str">
        <x:v>P5</x:v>
      </x:c>
      <x:c r="D210" s="64" t="n">
        <x:v>5</x:v>
      </x:c>
      <x:c r="E210" s="29" t="str">
        <x:v>At the end of the week, ask what was actually easier. Keep that; change what was not.</x:v>
      </x:c>
      <x:c r="F210" s="29" t="str">
        <x:v>Slide 5 of 6. At the end of the week, ask what was actually easier. Keep that; change what was not.</x:v>
      </x:c>
      <x:c r="G210" s="29" t="str">
        <x:v>checklist</x:v>
      </x:c>
      <x:c r="H210" s="29" t="str">
        <x:v>Draft — owner review</x:v>
      </x:c>
    </x:row>
    <x:row r="211" ht="84" customHeight="1">
      <x:c r="A211" s="29" t="str">
        <x:v>BTB-035</x:v>
      </x:c>
      <x:c r="B211" s="62" t="n">
        <x:v>46357</x:v>
      </x:c>
      <x:c r="C211" s="64" t="str">
        <x:v>P5</x:v>
      </x:c>
      <x:c r="D211" s="64" t="n">
        <x:v>6</x:v>
      </x:c>
      <x:c r="E211" s="29" t="str">
        <x:v>Save this for a week that needs less complexity, not more ambition.</x:v>
      </x:c>
      <x:c r="F211" s="29" t="str">
        <x:v>Slide 6 of 6. Save this for a week that needs less complexity, not more ambition.</x:v>
      </x:c>
      <x:c r="G211" s="29" t="str">
        <x:v>checklist</x:v>
      </x:c>
      <x:c r="H211" s="29" t="str">
        <x:v>Draft — owner review</x:v>
      </x:c>
    </x:row>
    <x:row r="212" ht="84" customHeight="1">
      <x:c r="A212" s="29" t="str">
        <x:v>BTB-036</x:v>
      </x:c>
      <x:c r="B212" s="62" t="n">
        <x:v>46358</x:v>
      </x:c>
      <x:c r="C212" s="64" t="str">
        <x:v>P1</x:v>
      </x:c>
      <x:c r="D212" s="64" t="n">
        <x:v>1</x:v>
      </x:c>
      <x:c r="E212" s="29" t="str">
        <x:v>You can change your answer when people ask about your future.</x:v>
      </x:c>
      <x:c r="F212" s="29" t="str">
        <x:v>Slide 1 of 6. You can change your answer when people ask about your future.</x:v>
      </x:c>
      <x:c r="G212" s="29" t="str">
        <x:v>script</x:v>
      </x:c>
      <x:c r="H212" s="29" t="str">
        <x:v>Draft — owner review</x:v>
      </x:c>
    </x:row>
    <x:row r="213" ht="84" customHeight="1">
      <x:c r="A213" s="29" t="str">
        <x:v>BTB-036</x:v>
      </x:c>
      <x:c r="B213" s="62" t="n">
        <x:v>46358</x:v>
      </x:c>
      <x:c r="C213" s="64" t="str">
        <x:v>P1</x:v>
      </x:c>
      <x:c r="D213" s="64" t="n">
        <x:v>2</x:v>
      </x:c>
      <x:c r="E213" s="29" t="str">
        <x:v>You may not know where you will live, what the holidays will look like, or whether you will date again.</x:v>
      </x:c>
      <x:c r="F213" s="29" t="str">
        <x:v>Slide 2 of 6. You may not know where you will live, what the holidays will look like, or whether you will date again.</x:v>
      </x:c>
      <x:c r="G213" s="29" t="str">
        <x:v>script</x:v>
      </x:c>
      <x:c r="H213" s="29" t="str">
        <x:v>Draft — owner review</x:v>
      </x:c>
    </x:row>
    <x:row r="214" ht="84" customHeight="1">
      <x:c r="A214" s="29" t="str">
        <x:v>BTB-036</x:v>
      </x:c>
      <x:c r="B214" s="62" t="n">
        <x:v>46358</x:v>
      </x:c>
      <x:c r="C214" s="64" t="str">
        <x:v>P1</x:v>
      </x:c>
      <x:c r="D214" s="64" t="n">
        <x:v>3</x:v>
      </x:c>
      <x:c r="E214" s="29" t="str">
        <x:v>Try: “Some things are still being worked out. I'm focusing on the decisions I can make now.”</x:v>
      </x:c>
      <x:c r="F214" s="29" t="str">
        <x:v>Slide 3 of 6. Try: “Some things are still being worked out. I'm focusing on the decisions I can make now.”</x:v>
      </x:c>
      <x:c r="G214" s="29" t="str">
        <x:v>script</x:v>
      </x:c>
      <x:c r="H214" s="29" t="str">
        <x:v>Draft — owner review</x:v>
      </x:c>
    </x:row>
    <x:row r="215" ht="84" customHeight="1">
      <x:c r="A215" s="29" t="str">
        <x:v>BTB-036</x:v>
      </x:c>
      <x:c r="B215" s="62" t="n">
        <x:v>46358</x:v>
      </x:c>
      <x:c r="C215" s="64" t="str">
        <x:v>P1</x:v>
      </x:c>
      <x:c r="D215" s="64" t="n">
        <x:v>4</x:v>
      </x:c>
      <x:c r="E215" s="29" t="str">
        <x:v>Uncertainty does not require you to invent confidence for someone else's comfort.</x:v>
      </x:c>
      <x:c r="F215" s="29" t="str">
        <x:v>Slide 4 of 6. Uncertainty does not require you to invent confidence for someone else's comfort.</x:v>
      </x:c>
      <x:c r="G215" s="29" t="str">
        <x:v>script</x:v>
      </x:c>
      <x:c r="H215" s="29" t="str">
        <x:v>Draft — owner review</x:v>
      </x:c>
    </x:row>
    <x:row r="216" ht="84" customHeight="1">
      <x:c r="A216" s="29" t="str">
        <x:v>BTB-036</x:v>
      </x:c>
      <x:c r="B216" s="62" t="n">
        <x:v>46358</x:v>
      </x:c>
      <x:c r="C216" s="64" t="str">
        <x:v>P1</x:v>
      </x:c>
      <x:c r="D216" s="64" t="n">
        <x:v>5</x:v>
      </x:c>
      <x:c r="E216" s="29" t="str">
        <x:v>Keep a private list of open questions and who could help answer them. That is different from having no direction.</x:v>
      </x:c>
      <x:c r="F216" s="29" t="str">
        <x:v>Slide 5 of 6. Keep a private list of open questions and who could help answer them. That is different from having no direction.</x:v>
      </x:c>
      <x:c r="G216" s="29" t="str">
        <x:v>script</x:v>
      </x:c>
      <x:c r="H216" s="29" t="str">
        <x:v>Draft — owner review</x:v>
      </x:c>
    </x:row>
    <x:row r="217" ht="84" customHeight="1">
      <x:c r="A217" s="29" t="str">
        <x:v>BTB-036</x:v>
      </x:c>
      <x:c r="B217" s="62" t="n">
        <x:v>46358</x:v>
      </x:c>
      <x:c r="C217" s="64" t="str">
        <x:v>P1</x:v>
      </x:c>
      <x:c r="D217" s="64" t="n">
        <x:v>6</x:v>
      </x:c>
      <x:c r="E217" s="29" t="str">
        <x:v>Save this for a conversation that asks for a finished plan before you have one.</x:v>
      </x:c>
      <x:c r="F217" s="29" t="str">
        <x:v>Slide 6 of 6. Save this for a conversation that asks for a finished plan before you have one.</x:v>
      </x:c>
      <x:c r="G217" s="29" t="str">
        <x:v>script</x:v>
      </x:c>
      <x:c r="H217" s="29" t="str">
        <x:v>Draft — owner review</x:v>
      </x:c>
    </x:row>
    <x:row r="218" ht="84" customHeight="1">
      <x:c r="A218" s="29" t="str">
        <x:v>BTB-037</x:v>
      </x:c>
      <x:c r="B218" s="62" t="n">
        <x:v>46359</x:v>
      </x:c>
      <x:c r="C218" s="64" t="str">
        <x:v>P2</x:v>
      </x:c>
      <x:c r="D218" s="64" t="n">
        <x:v>1</x:v>
      </x:c>
      <x:c r="E218" s="29" t="str">
        <x:v>Make a list of support that is not just one person's name.</x:v>
      </x:c>
      <x:c r="F218" s="29" t="str">
        <x:v>Slide 1 of 6. Make a list of support that is not just one person's name.</x:v>
      </x:c>
      <x:c r="G218" s="29" t="str">
        <x:v>checklist</x:v>
      </x:c>
      <x:c r="H218" s="29" t="str">
        <x:v>Draft — owner review</x:v>
      </x:c>
    </x:row>
    <x:row r="219" ht="84" customHeight="1">
      <x:c r="A219" s="29" t="str">
        <x:v>BTB-037</x:v>
      </x:c>
      <x:c r="B219" s="62" t="n">
        <x:v>46359</x:v>
      </x:c>
      <x:c r="C219" s="64" t="str">
        <x:v>P2</x:v>
      </x:c>
      <x:c r="D219" s="64" t="n">
        <x:v>2</x:v>
      </x:c>
      <x:c r="E219" s="29" t="str">
        <x:v>One friend cannot be available for every practical problem, lonely evening, and difficult decision.</x:v>
      </x:c>
      <x:c r="F219" s="29" t="str">
        <x:v>Slide 2 of 6. One friend cannot be available for every practical problem, lonely evening, and difficult decision.</x:v>
      </x:c>
      <x:c r="G219" s="29" t="str">
        <x:v>checklist</x:v>
      </x:c>
      <x:c r="H219" s="29" t="str">
        <x:v>Draft — owner review</x:v>
      </x:c>
    </x:row>
    <x:row r="220" ht="84" customHeight="1">
      <x:c r="A220" s="29" t="str">
        <x:v>BTB-037</x:v>
      </x:c>
      <x:c r="B220" s="62" t="n">
        <x:v>46359</x:v>
      </x:c>
      <x:c r="C220" s="64" t="str">
        <x:v>P2</x:v>
      </x:c>
      <x:c r="D220" s="64" t="n">
        <x:v>3</x:v>
      </x:c>
      <x:c r="E220" s="29" t="str">
        <x:v>Make separate headings: company, practical help, professional guidance, and urgent support.</x:v>
      </x:c>
      <x:c r="F220" s="29" t="str">
        <x:v>Slide 3 of 6. Make separate headings: company, practical help, professional guidance, and urgent support.</x:v>
      </x:c>
      <x:c r="G220" s="29" t="str">
        <x:v>checklist</x:v>
      </x:c>
      <x:c r="H220" s="29" t="str">
        <x:v>Draft — owner review</x:v>
      </x:c>
    </x:row>
    <x:row r="221" ht="84" customHeight="1">
      <x:c r="A221" s="29" t="str">
        <x:v>BTB-037</x:v>
      </x:c>
      <x:c r="B221" s="62" t="n">
        <x:v>46359</x:v>
      </x:c>
      <x:c r="C221" s="64" t="str">
        <x:v>P2</x:v>
      </x:c>
      <x:c r="D221" s="64" t="n">
        <x:v>4</x:v>
      </x:c>
      <x:c r="E221" s="29" t="str">
        <x:v>Add realistic options under each. Ask people what they can offer rather than assuming unlimited availability.</x:v>
      </x:c>
      <x:c r="F221" s="29" t="str">
        <x:v>Slide 4 of 6. Add realistic options under each. Ask people what they can offer rather than assuming unlimited availability.</x:v>
      </x:c>
      <x:c r="G221" s="29" t="str">
        <x:v>checklist</x:v>
      </x:c>
      <x:c r="H221" s="29" t="str">
        <x:v>Draft — owner review</x:v>
      </x:c>
    </x:row>
    <x:row r="222" ht="84" customHeight="1">
      <x:c r="A222" s="29" t="str">
        <x:v>BTB-037</x:v>
      </x:c>
      <x:c r="B222" s="62" t="n">
        <x:v>46359</x:v>
      </x:c>
      <x:c r="C222" s="64" t="str">
        <x:v>P2</x:v>
      </x:c>
      <x:c r="D222" s="64" t="n">
        <x:v>5</x:v>
      </x:c>
      <x:c r="E222" s="29" t="str">
        <x:v>Where you have a gap, identify a local service or qualified professional you could contact.</x:v>
      </x:c>
      <x:c r="F222" s="29" t="str">
        <x:v>Slide 5 of 6. Where you have a gap, identify a local service or qualified professional you could contact.</x:v>
      </x:c>
      <x:c r="G222" s="29" t="str">
        <x:v>checklist</x:v>
      </x:c>
      <x:c r="H222" s="29" t="str">
        <x:v>Draft — owner review</x:v>
      </x:c>
    </x:row>
    <x:row r="223" ht="84" customHeight="1">
      <x:c r="A223" s="29" t="str">
        <x:v>BTB-037</x:v>
      </x:c>
      <x:c r="B223" s="62" t="n">
        <x:v>46359</x:v>
      </x:c>
      <x:c r="C223" s="64" t="str">
        <x:v>P2</x:v>
      </x:c>
      <x:c r="D223" s="64" t="n">
        <x:v>6</x:v>
      </x:c>
      <x:c r="E223" s="29" t="str">
        <x:v>Save this as a reminder to build more than one route to help.</x:v>
      </x:c>
      <x:c r="F223" s="29" t="str">
        <x:v>Slide 6 of 6. Save this as a reminder to build more than one route to help.</x:v>
      </x:c>
      <x:c r="G223" s="29" t="str">
        <x:v>checklist</x:v>
      </x:c>
      <x:c r="H223" s="29" t="str">
        <x:v>Draft — owner review</x:v>
      </x:c>
    </x:row>
    <x:row r="224" ht="84" customHeight="1">
      <x:c r="A224" s="29" t="str">
        <x:v>BTB-038</x:v>
      </x:c>
      <x:c r="B224" s="62" t="n">
        <x:v>46360</x:v>
      </x:c>
      <x:c r="C224" s="64" t="str">
        <x:v>P5</x:v>
      </x:c>
      <x:c r="D224" s="64" t="n">
        <x:v>1</x:v>
      </x:c>
      <x:c r="E224" s="29" t="str">
        <x:v>A temporary job is not a permanent statement about your worth.</x:v>
      </x:c>
      <x:c r="F224" s="29" t="str">
        <x:v>Slide 1 of 6. A temporary job is not a permanent statement about your worth.</x:v>
      </x:c>
      <x:c r="G224" s="29" t="str">
        <x:v>contrast</x:v>
      </x:c>
      <x:c r="H224" s="29" t="str">
        <x:v>Draft — owner review</x:v>
      </x:c>
    </x:row>
    <x:row r="225" ht="84" customHeight="1">
      <x:c r="A225" s="29" t="str">
        <x:v>BTB-038</x:v>
      </x:c>
      <x:c r="B225" s="62" t="n">
        <x:v>46360</x:v>
      </x:c>
      <x:c r="C225" s="64" t="str">
        <x:v>P5</x:v>
      </x:c>
      <x:c r="D225" s="64" t="n">
        <x:v>2</x:v>
      </x:c>
      <x:c r="E225" s="29" t="str">
        <x:v>After a setback, work decisions may be shaped by immediate responsibilities rather than your ideal career story.</x:v>
      </x:c>
      <x:c r="F225" s="29" t="str">
        <x:v>Slide 2 of 6. After a setback, work decisions may be shaped by immediate responsibilities rather than your ideal career story.</x:v>
      </x:c>
      <x:c r="G225" s="29" t="str">
        <x:v>contrast</x:v>
      </x:c>
      <x:c r="H225" s="29" t="str">
        <x:v>Draft — owner review</x:v>
      </x:c>
    </x:row>
    <x:row r="226" ht="84" customHeight="1">
      <x:c r="A226" s="29" t="str">
        <x:v>BTB-038</x:v>
      </x:c>
      <x:c r="B226" s="62" t="n">
        <x:v>46360</x:v>
      </x:c>
      <x:c r="C226" s="64" t="str">
        <x:v>P5</x:v>
      </x:c>
      <x:c r="D226" s="64" t="n">
        <x:v>3</x:v>
      </x:c>
      <x:c r="E226" s="29" t="str">
        <x:v>You can make a practical choice now without pretending it is your final destination.</x:v>
      </x:c>
      <x:c r="F226" s="29" t="str">
        <x:v>Slide 3 of 6. You can make a practical choice now without pretending it is your final destination.</x:v>
      </x:c>
      <x:c r="G226" s="29" t="str">
        <x:v>contrast</x:v>
      </x:c>
      <x:c r="H226" s="29" t="str">
        <x:v>Draft — owner review</x:v>
      </x:c>
    </x:row>
    <x:row r="227" ht="84" customHeight="1">
      <x:c r="A227" s="29" t="str">
        <x:v>BTB-038</x:v>
      </x:c>
      <x:c r="B227" s="62" t="n">
        <x:v>46360</x:v>
      </x:c>
      <x:c r="C227" s="64" t="str">
        <x:v>P5</x:v>
      </x:c>
      <x:c r="D227" s="64" t="n">
        <x:v>4</x:v>
      </x:c>
      <x:c r="E227" s="29" t="str">
        <x:v>Ask what the role needs to provide: income, predictability, experience, or room for other responsibilities.</x:v>
      </x:c>
      <x:c r="F227" s="29" t="str">
        <x:v>Slide 4 of 6. Ask what the role needs to provide: income, predictability, experience, or room for other responsibilities.</x:v>
      </x:c>
      <x:c r="G227" s="29" t="str">
        <x:v>contrast</x:v>
      </x:c>
      <x:c r="H227" s="29" t="str">
        <x:v>Draft — owner review</x:v>
      </x:c>
    </x:row>
    <x:row r="228" ht="84" customHeight="1">
      <x:c r="A228" s="29" t="str">
        <x:v>BTB-038</x:v>
      </x:c>
      <x:c r="B228" s="62" t="n">
        <x:v>46360</x:v>
      </x:c>
      <x:c r="C228" s="64" t="str">
        <x:v>P5</x:v>
      </x:c>
      <x:c r="D228" s="64" t="n">
        <x:v>5</x:v>
      </x:c>
      <x:c r="E228" s="29" t="str">
        <x:v>Keep one realistic next-career action alongside the present job, without overloading every evening.</x:v>
      </x:c>
      <x:c r="F228" s="29" t="str">
        <x:v>Slide 5 of 6. Keep one realistic next-career action alongside the present job, without overloading every evening.</x:v>
      </x:c>
      <x:c r="G228" s="29" t="str">
        <x:v>contrast</x:v>
      </x:c>
      <x:c r="H228" s="29" t="str">
        <x:v>Draft — owner review</x:v>
      </x:c>
    </x:row>
    <x:row r="229" ht="84" customHeight="1">
      <x:c r="A229" s="29" t="str">
        <x:v>BTB-038</x:v>
      </x:c>
      <x:c r="B229" s="62" t="n">
        <x:v>46360</x:v>
      </x:c>
      <x:c r="C229" s="64" t="str">
        <x:v>P5</x:v>
      </x:c>
      <x:c r="D229" s="64" t="n">
        <x:v>6</x:v>
      </x:c>
      <x:c r="E229" s="29" t="str">
        <x:v>Share this with someone who feels embarrassed about choosing stability.</x:v>
      </x:c>
      <x:c r="F229" s="29" t="str">
        <x:v>Slide 6 of 6. Share this with someone who feels embarrassed about choosing stability.</x:v>
      </x:c>
      <x:c r="G229" s="29" t="str">
        <x:v>contrast</x:v>
      </x:c>
      <x:c r="H229" s="29" t="str">
        <x:v>Draft — owner review</x:v>
      </x:c>
    </x:row>
    <x:row r="230" ht="84" customHeight="1">
      <x:c r="A230" s="29" t="str">
        <x:v>BTB-039</x:v>
      </x:c>
      <x:c r="B230" s="62" t="n">
        <x:v>46361</x:v>
      </x:c>
      <x:c r="C230" s="64" t="str">
        <x:v>P3</x:v>
      </x:c>
      <x:c r="D230" s="64" t="n">
        <x:v>1</x:v>
      </x:c>
      <x:c r="E230" s="29" t="str">
        <x:v>“How was your time?” does not need to become an interview.</x:v>
      </x:c>
      <x:c r="F230" s="29" t="str">
        <x:v>Slide 1 of 6. “How was your time?” does not need to become an interview.</x:v>
      </x:c>
      <x:c r="G230" s="29" t="str">
        <x:v>script</x:v>
      </x:c>
      <x:c r="H230" s="29" t="str">
        <x:v>Draft — owner review</x:v>
      </x:c>
    </x:row>
    <x:row r="231" ht="84" customHeight="1">
      <x:c r="A231" s="29" t="str">
        <x:v>BTB-039</x:v>
      </x:c>
      <x:c r="B231" s="62" t="n">
        <x:v>46361</x:v>
      </x:c>
      <x:c r="C231" s="64" t="str">
        <x:v>P3</x:v>
      </x:c>
      <x:c r="D231" s="64" t="n">
        <x:v>2</x:v>
      </x:c>
      <x:c r="E231" s="29" t="str">
        <x:v>Curiosity about your child's experience is different from collecting information about another adult.</x:v>
      </x:c>
      <x:c r="F231" s="29" t="str">
        <x:v>Slide 2 of 6. Curiosity about your child's experience is different from collecting information about another adult.</x:v>
      </x:c>
      <x:c r="G231" s="29" t="str">
        <x:v>script</x:v>
      </x:c>
      <x:c r="H231" s="29" t="str">
        <x:v>Draft — owner review</x:v>
      </x:c>
    </x:row>
    <x:row r="232" ht="84" customHeight="1">
      <x:c r="A232" s="29" t="str">
        <x:v>BTB-039</x:v>
      </x:c>
      <x:c r="B232" s="62" t="n">
        <x:v>46361</x:v>
      </x:c>
      <x:c r="C232" s="64" t="str">
        <x:v>P3</x:v>
      </x:c>
      <x:c r="D232" s="64" t="n">
        <x:v>3</x:v>
      </x:c>
      <x:c r="E232" s="29" t="str">
        <x:v>Ask about what mattered to them: a game, a meal, a friend, something they enjoyed or found difficult.</x:v>
      </x:c>
      <x:c r="F232" s="29" t="str">
        <x:v>Slide 3 of 6. Ask about what mattered to them: a game, a meal, a friend, something they enjoyed or found difficult.</x:v>
      </x:c>
      <x:c r="G232" s="29" t="str">
        <x:v>script</x:v>
      </x:c>
      <x:c r="H232" s="29" t="str">
        <x:v>Draft — owner review</x:v>
      </x:c>
    </x:row>
    <x:row r="233" ht="84" customHeight="1">
      <x:c r="A233" s="29" t="str">
        <x:v>BTB-039</x:v>
      </x:c>
      <x:c r="B233" s="62" t="n">
        <x:v>46361</x:v>
      </x:c>
      <x:c r="C233" s="64" t="str">
        <x:v>P3</x:v>
      </x:c>
      <x:c r="D233" s="64" t="n">
        <x:v>4</x:v>
      </x:c>
      <x:c r="E233" s="29" t="str">
        <x:v>Let the conversation stay with their experience. Avoid requests for private adult details or comparisons between homes.</x:v>
      </x:c>
      <x:c r="F233" s="29" t="str">
        <x:v>Slide 4 of 6. Let the conversation stay with their experience. Avoid requests for private adult details or comparisons between homes.</x:v>
      </x:c>
      <x:c r="G233" s="29" t="str">
        <x:v>script</x:v>
      </x:c>
      <x:c r="H233" s="29" t="str">
        <x:v>Draft — owner review</x:v>
      </x:c>
    </x:row>
    <x:row r="234" ht="84" customHeight="1">
      <x:c r="A234" s="29" t="str">
        <x:v>BTB-039</x:v>
      </x:c>
      <x:c r="B234" s="62" t="n">
        <x:v>46361</x:v>
      </x:c>
      <x:c r="C234" s="64" t="str">
        <x:v>P3</x:v>
      </x:c>
      <x:c r="D234" s="64" t="n">
        <x:v>5</x:v>
      </x:c>
      <x:c r="E234" s="29" t="str">
        <x:v>If a child raises a safety concern, listen and seek appropriate professional help rather than conducting your own interrogation.</x:v>
      </x:c>
      <x:c r="F234" s="29" t="str">
        <x:v>Slide 5 of 6. If a child raises a safety concern, listen and seek appropriate professional help rather than conducting your own interrogation.</x:v>
      </x:c>
      <x:c r="G234" s="29" t="str">
        <x:v>script</x:v>
      </x:c>
      <x:c r="H234" s="29" t="str">
        <x:v>Draft — owner review</x:v>
      </x:c>
    </x:row>
    <x:row r="235" ht="84" customHeight="1">
      <x:c r="A235" s="29" t="str">
        <x:v>BTB-039</x:v>
      </x:c>
      <x:c r="B235" s="62" t="n">
        <x:v>46361</x:v>
      </x:c>
      <x:c r="C235" s="64" t="str">
        <x:v>P3</x:v>
      </x:c>
      <x:c r="D235" s="64" t="n">
        <x:v>6</x:v>
      </x:c>
      <x:c r="E235" s="29" t="str">
        <x:v>Save this reminder: connect with your child, not a report about the other household.</x:v>
      </x:c>
      <x:c r="F235" s="29" t="str">
        <x:v>Slide 6 of 6. Save this reminder: connect with your child, not a report about the other household.</x:v>
      </x:c>
      <x:c r="G235" s="29" t="str">
        <x:v>script</x:v>
      </x:c>
      <x:c r="H235" s="29" t="str">
        <x:v>Draft — owner review</x:v>
      </x:c>
    </x:row>
    <x:row r="236" ht="84" customHeight="1">
      <x:c r="A236" s="29" t="str">
        <x:v>BTB-040</x:v>
      </x:c>
      <x:c r="B236" s="62" t="n">
        <x:v>46362</x:v>
      </x:c>
      <x:c r="C236" s="64" t="str">
        <x:v>P4</x:v>
      </x:c>
      <x:c r="D236" s="64" t="n">
        <x:v>1</x:v>
      </x:c>
      <x:c r="E236" s="29" t="str">
        <x:v>Before calling it trust, ask what you are actually relying on.</x:v>
      </x:c>
      <x:c r="F236" s="29" t="str">
        <x:v>Slide 1 of 6. Before calling it trust, ask what you are actually relying on.</x:v>
      </x:c>
      <x:c r="G236" s="29" t="str">
        <x:v>checklist</x:v>
      </x:c>
      <x:c r="H236" s="29" t="str">
        <x:v>Draft — owner review</x:v>
      </x:c>
    </x:row>
    <x:row r="237" ht="84" customHeight="1">
      <x:c r="A237" s="29" t="str">
        <x:v>BTB-040</x:v>
      </x:c>
      <x:c r="B237" s="62" t="n">
        <x:v>46362</x:v>
      </x:c>
      <x:c r="C237" s="64" t="str">
        <x:v>P4</x:v>
      </x:c>
      <x:c r="D237" s="64" t="n">
        <x:v>2</x:v>
      </x:c>
      <x:c r="E237" s="29" t="str">
        <x:v>Is it a promise, a familiar feeling, a shared history, or a pattern you have observed?</x:v>
      </x:c>
      <x:c r="F237" s="29" t="str">
        <x:v>Slide 2 of 6. Is it a promise, a familiar feeling, a shared history, or a pattern you have observed?</x:v>
      </x:c>
      <x:c r="G237" s="29" t="str">
        <x:v>checklist</x:v>
      </x:c>
      <x:c r="H237" s="29" t="str">
        <x:v>Draft — owner review</x:v>
      </x:c>
    </x:row>
    <x:row r="238" ht="84" customHeight="1">
      <x:c r="A238" s="29" t="str">
        <x:v>BTB-040</x:v>
      </x:c>
      <x:c r="B238" s="62" t="n">
        <x:v>46362</x:v>
      </x:c>
      <x:c r="C238" s="64" t="str">
        <x:v>P4</x:v>
      </x:c>
      <x:c r="D238" s="64" t="n">
        <x:v>3</x:v>
      </x:c>
      <x:c r="E238" s="29" t="str">
        <x:v>Those can matter in different ways. They are not interchangeable evidence for every decision.</x:v>
      </x:c>
      <x:c r="F238" s="29" t="str">
        <x:v>Slide 3 of 6. Those can matter in different ways. They are not interchangeable evidence for every decision.</x:v>
      </x:c>
      <x:c r="G238" s="29" t="str">
        <x:v>checklist</x:v>
      </x:c>
      <x:c r="H238" s="29" t="str">
        <x:v>Draft — owner review</x:v>
      </x:c>
    </x:row>
    <x:row r="239" ht="84" customHeight="1">
      <x:c r="A239" s="29" t="str">
        <x:v>BTB-040</x:v>
      </x:c>
      <x:c r="B239" s="62" t="n">
        <x:v>46362</x:v>
      </x:c>
      <x:c r="C239" s="64" t="str">
        <x:v>P4</x:v>
      </x:c>
      <x:c r="D239" s="64" t="n">
        <x:v>4</x:v>
      </x:c>
      <x:c r="E239" s="29" t="str">
        <x:v>Consider the specific question: trusting someone with time, money, private information, or a commitment.</x:v>
      </x:c>
      <x:c r="F239" s="29" t="str">
        <x:v>Slide 4 of 6. Consider the specific question: trusting someone with time, money, private information, or a commitment.</x:v>
      </x:c>
      <x:c r="G239" s="29" t="str">
        <x:v>checklist</x:v>
      </x:c>
      <x:c r="H239" s="29" t="str">
        <x:v>Draft — owner review</x:v>
      </x:c>
    </x:row>
    <x:row r="240" ht="84" customHeight="1">
      <x:c r="A240" s="29" t="str">
        <x:v>BTB-040</x:v>
      </x:c>
      <x:c r="B240" s="62" t="n">
        <x:v>46362</x:v>
      </x:c>
      <x:c r="C240" s="64" t="str">
        <x:v>P4</x:v>
      </x:c>
      <x:c r="D240" s="64" t="n">
        <x:v>5</x:v>
      </x:c>
      <x:c r="E240" s="29" t="str">
        <x:v>You can make a small decision slowly without deciding the entire relationship today.</x:v>
      </x:c>
      <x:c r="F240" s="29" t="str">
        <x:v>Slide 5 of 6. You can make a small decision slowly without deciding the entire relationship today.</x:v>
      </x:c>
      <x:c r="G240" s="29" t="str">
        <x:v>checklist</x:v>
      </x:c>
      <x:c r="H240" s="29" t="str">
        <x:v>Draft — owner review</x:v>
      </x:c>
    </x:row>
    <x:row r="241" ht="84" customHeight="1">
      <x:c r="A241" s="29" t="str">
        <x:v>BTB-040</x:v>
      </x:c>
      <x:c r="B241" s="62" t="n">
        <x:v>46362</x:v>
      </x:c>
      <x:c r="C241" s="64" t="str">
        <x:v>P4</x:v>
      </x:c>
      <x:c r="D241" s="64" t="n">
        <x:v>6</x:v>
      </x:c>
      <x:c r="E241" s="29" t="str">
        <x:v>Save these questions for a moment when hope is moving faster than clarity.</x:v>
      </x:c>
      <x:c r="F241" s="29" t="str">
        <x:v>Slide 6 of 6. Save these questions for a moment when hope is moving faster than clarity.</x:v>
      </x:c>
      <x:c r="G241" s="29" t="str">
        <x:v>checklist</x:v>
      </x:c>
      <x:c r="H241" s="29" t="str">
        <x:v>Draft — owner review</x:v>
      </x:c>
    </x:row>
    <x:row r="242" ht="84" customHeight="1">
      <x:c r="A242" s="29" t="str">
        <x:v>BTB-041</x:v>
      </x:c>
      <x:c r="B242" s="62" t="n">
        <x:v>46363</x:v>
      </x:c>
      <x:c r="C242" s="64" t="str">
        <x:v>P1</x:v>
      </x:c>
      <x:c r="D242" s="64" t="n">
        <x:v>1</x:v>
      </x:c>
      <x:c r="E242" s="29" t="str">
        <x:v>Starting again can look less impressive than staying stuck looks online.</x:v>
      </x:c>
      <x:c r="F242" s="29" t="str">
        <x:v>Slide 1 of 6. Starting again can look less impressive than staying stuck looks online.</x:v>
      </x:c>
      <x:c r="G242" s="29" t="str">
        <x:v>editorial</x:v>
      </x:c>
      <x:c r="H242" s="29" t="str">
        <x:v>Draft — owner review</x:v>
      </x:c>
    </x:row>
    <x:row r="243" ht="84" customHeight="1">
      <x:c r="A243" s="29" t="str">
        <x:v>BTB-041</x:v>
      </x:c>
      <x:c r="B243" s="62" t="n">
        <x:v>46363</x:v>
      </x:c>
      <x:c r="C243" s="64" t="str">
        <x:v>P1</x:v>
      </x:c>
      <x:c r="D243" s="64" t="n">
        <x:v>2</x:v>
      </x:c>
      <x:c r="E243" s="29" t="str">
        <x:v>It may mean an honest budget, a smaller plan, or admitting that something is not working.</x:v>
      </x:c>
      <x:c r="F243" s="29" t="str">
        <x:v>Slide 2 of 6. It may mean an honest budget, a smaller plan, or admitting that something is not working.</x:v>
      </x:c>
      <x:c r="G243" s="29" t="str">
        <x:v>editorial</x:v>
      </x:c>
      <x:c r="H243" s="29" t="str">
        <x:v>Draft — owner review</x:v>
      </x:c>
    </x:row>
    <x:row r="244" ht="84" customHeight="1">
      <x:c r="A244" s="29" t="str">
        <x:v>BTB-041</x:v>
      </x:c>
      <x:c r="B244" s="62" t="n">
        <x:v>46363</x:v>
      </x:c>
      <x:c r="C244" s="64" t="str">
        <x:v>P1</x:v>
      </x:c>
      <x:c r="D244" s="64" t="n">
        <x:v>3</x:v>
      </x:c>
      <x:c r="E244" s="29" t="str">
        <x:v>Those choices do not always photograph well. They can still be responsible choices for your actual circumstances.</x:v>
      </x:c>
      <x:c r="F244" s="29" t="str">
        <x:v>Slide 3 of 6. Those choices do not always photograph well. They can still be responsible choices for your actual circumstances.</x:v>
      </x:c>
      <x:c r="G244" s="29" t="str">
        <x:v>editorial</x:v>
      </x:c>
      <x:c r="H244" s="29" t="str">
        <x:v>Draft — owner review</x:v>
      </x:c>
    </x:row>
    <x:row r="245" ht="84" customHeight="1">
      <x:c r="A245" s="29" t="str">
        <x:v>BTB-041</x:v>
      </x:c>
      <x:c r="B245" s="62" t="n">
        <x:v>46363</x:v>
      </x:c>
      <x:c r="C245" s="64" t="str">
        <x:v>P1</x:v>
      </x:c>
      <x:c r="D245" s="64" t="n">
        <x:v>4</x:v>
      </x:c>
      <x:c r="E245" s="29" t="str">
        <x:v>Ask what would make your life more workable even if nobody knew you did it.</x:v>
      </x:c>
      <x:c r="F245" s="29" t="str">
        <x:v>Slide 4 of 6. Ask what would make your life more workable even if nobody knew you did it.</x:v>
      </x:c>
      <x:c r="G245" s="29" t="str">
        <x:v>editorial</x:v>
      </x:c>
      <x:c r="H245" s="29" t="str">
        <x:v>Draft — owner review</x:v>
      </x:c>
    </x:row>
    <x:row r="246" ht="84" customHeight="1">
      <x:c r="A246" s="29" t="str">
        <x:v>BTB-041</x:v>
      </x:c>
      <x:c r="B246" s="62" t="n">
        <x:v>46363</x:v>
      </x:c>
      <x:c r="C246" s="64" t="str">
        <x:v>P1</x:v>
      </x:c>
      <x:c r="D246" s="64" t="n">
        <x:v>5</x:v>
      </x:c>
      <x:c r="E246" s="29" t="str">
        <x:v>Choose one action for that reason, not for the story it will let you tell.</x:v>
      </x:c>
      <x:c r="F246" s="29" t="str">
        <x:v>Slide 5 of 6. Choose one action for that reason, not for the story it will let you tell.</x:v>
      </x:c>
      <x:c r="G246" s="29" t="str">
        <x:v>editorial</x:v>
      </x:c>
      <x:c r="H246" s="29" t="str">
        <x:v>Draft — owner review</x:v>
      </x:c>
    </x:row>
    <x:row r="247" ht="84" customHeight="1">
      <x:c r="A247" s="29" t="str">
        <x:v>BTB-041</x:v>
      </x:c>
      <x:c r="B247" s="62" t="n">
        <x:v>46363</x:v>
      </x:c>
      <x:c r="C247" s="64" t="str">
        <x:v>P1</x:v>
      </x:c>
      <x:c r="D247" s="64" t="n">
        <x:v>6</x:v>
      </x:c>
      <x:c r="E247" s="29" t="str">
        <x:v>Send this to someone rebuilding a real life rather than a convincing image of one.</x:v>
      </x:c>
      <x:c r="F247" s="29" t="str">
        <x:v>Slide 6 of 6. Send this to someone rebuilding a real life rather than a convincing image of one.</x:v>
      </x:c>
      <x:c r="G247" s="29" t="str">
        <x:v>editorial</x:v>
      </x:c>
      <x:c r="H247" s="29" t="str">
        <x:v>Draft — owner review</x:v>
      </x:c>
    </x:row>
    <x:row r="248" ht="84" customHeight="1">
      <x:c r="A248" s="29" t="str">
        <x:v>BTB-042</x:v>
      </x:c>
      <x:c r="B248" s="62" t="n">
        <x:v>46364</x:v>
      </x:c>
      <x:c r="C248" s="64" t="str">
        <x:v>P2</x:v>
      </x:c>
      <x:c r="D248" s="64" t="n">
        <x:v>1</x:v>
      </x:c>
      <x:c r="E248" s="29" t="str">
        <x:v>A hard day and a harmful pattern need different responses.</x:v>
      </x:c>
      <x:c r="F248" s="29" t="str">
        <x:v>Slide 1 of 6. A hard day and a harmful pattern need different responses.</x:v>
      </x:c>
      <x:c r="G248" s="29" t="str">
        <x:v>contrast</x:v>
      </x:c>
      <x:c r="H248" s="29" t="str">
        <x:v>Draft — owner review</x:v>
      </x:c>
    </x:row>
    <x:row r="249" ht="84" customHeight="1">
      <x:c r="A249" s="29" t="str">
        <x:v>BTB-042</x:v>
      </x:c>
      <x:c r="B249" s="62" t="n">
        <x:v>46364</x:v>
      </x:c>
      <x:c r="C249" s="64" t="str">
        <x:v>P2</x:v>
      </x:c>
      <x:c r="D249" s="64" t="n">
        <x:v>2</x:v>
      </x:c>
      <x:c r="E249" s="29" t="str">
        <x:v>One difficult afternoon does not automatically explain your whole life. Repeated distress should not be dismissed as “just a day.”</x:v>
      </x:c>
      <x:c r="F249" s="29" t="str">
        <x:v>Slide 2 of 6. One difficult afternoon does not automatically explain your whole life. Repeated distress should not be dismissed as “just a day.”</x:v>
      </x:c>
      <x:c r="G249" s="29" t="str">
        <x:v>contrast</x:v>
      </x:c>
      <x:c r="H249" s="29" t="str">
        <x:v>Draft — owner review</x:v>
      </x:c>
    </x:row>
    <x:row r="250" ht="84" customHeight="1">
      <x:c r="A250" s="29" t="str">
        <x:v>BTB-042</x:v>
      </x:c>
      <x:c r="B250" s="62" t="n">
        <x:v>46364</x:v>
      </x:c>
      <x:c r="C250" s="64" t="str">
        <x:v>P2</x:v>
      </x:c>
      <x:c r="D250" s="64" t="n">
        <x:v>3</x:v>
      </x:c>
      <x:c r="E250" s="29" t="str">
        <x:v>Write down what is difficult, how often it is happening, and what it is interfering with.</x:v>
      </x:c>
      <x:c r="F250" s="29" t="str">
        <x:v>Slide 3 of 6. Write down what is difficult, how often it is happening, and what it is interfering with.</x:v>
      </x:c>
      <x:c r="G250" s="29" t="str">
        <x:v>contrast</x:v>
      </x:c>
      <x:c r="H250" s="29" t="str">
        <x:v>Draft — owner review</x:v>
      </x:c>
    </x:row>
    <x:row r="251" ht="84" customHeight="1">
      <x:c r="A251" s="29" t="str">
        <x:v>BTB-042</x:v>
      </x:c>
      <x:c r="B251" s="62" t="n">
        <x:v>46364</x:v>
      </x:c>
      <x:c r="C251" s="64" t="str">
        <x:v>P2</x:v>
      </x:c>
      <x:c r="D251" s="64" t="n">
        <x:v>4</x:v>
      </x:c>
      <x:c r="E251" s="29" t="str">
        <x:v>Use that information to ask for appropriate support. You do not need to diagnose yourself first.</x:v>
      </x:c>
      <x:c r="F251" s="29" t="str">
        <x:v>Slide 4 of 6. Use that information to ask for appropriate support. You do not need to diagnose yourself first.</x:v>
      </x:c>
      <x:c r="G251" s="29" t="str">
        <x:v>contrast</x:v>
      </x:c>
      <x:c r="H251" s="29" t="str">
        <x:v>Draft — owner review</x:v>
      </x:c>
    </x:row>
    <x:row r="252" ht="84" customHeight="1">
      <x:c r="A252" s="29" t="str">
        <x:v>BTB-042</x:v>
      </x:c>
      <x:c r="B252" s="62" t="n">
        <x:v>46364</x:v>
      </x:c>
      <x:c r="C252" s="64" t="str">
        <x:v>P2</x:v>
      </x:c>
      <x:c r="D252" s="64" t="n">
        <x:v>5</x:v>
      </x:c>
      <x:c r="E252" s="29" t="str">
        <x:v>A carousel can offer words. It cannot assess your mental health or replace professional care.</x:v>
      </x:c>
      <x:c r="F252" s="29" t="str">
        <x:v>Slide 5 of 6. A carousel can offer words. It cannot assess your mental health or replace professional care.</x:v>
      </x:c>
      <x:c r="G252" s="29" t="str">
        <x:v>contrast</x:v>
      </x:c>
      <x:c r="H252" s="29" t="str">
        <x:v>Draft — owner review</x:v>
      </x:c>
    </x:row>
    <x:row r="253" ht="84" customHeight="1">
      <x:c r="A253" s="29" t="str">
        <x:v>BTB-042</x:v>
      </x:c>
      <x:c r="B253" s="62" t="n">
        <x:v>46364</x:v>
      </x:c>
      <x:c r="C253" s="64" t="str">
        <x:v>P2</x:v>
      </x:c>
      <x:c r="D253" s="64" t="n">
        <x:v>6</x:v>
      </x:c>
      <x:c r="E253" s="29" t="str">
        <x:v>Save this reminder to take your experience seriously without jumping to a label.</x:v>
      </x:c>
      <x:c r="F253" s="29" t="str">
        <x:v>Slide 6 of 6. Save this reminder to take your experience seriously without jumping to a label.</x:v>
      </x:c>
      <x:c r="G253" s="29" t="str">
        <x:v>contrast</x:v>
      </x:c>
      <x:c r="H253" s="29" t="str">
        <x:v>Draft — owner review</x:v>
      </x:c>
    </x:row>
    <x:row r="254" ht="84" customHeight="1">
      <x:c r="A254" s="29" t="str">
        <x:v>BTB-043</x:v>
      </x:c>
      <x:c r="B254" s="62" t="n">
        <x:v>46365</x:v>
      </x:c>
      <x:c r="C254" s="64" t="str">
        <x:v>P5</x:v>
      </x:c>
      <x:c r="D254" s="64" t="n">
        <x:v>1</x:v>
      </x:c>
      <x:c r="E254" s="29" t="str">
        <x:v>Rebuild the week around the commitments you already have.</x:v>
      </x:c>
      <x:c r="F254" s="29" t="str">
        <x:v>Slide 1 of 6. Rebuild the week around the commitments you already have.</x:v>
      </x:c>
      <x:c r="G254" s="29" t="str">
        <x:v>checklist</x:v>
      </x:c>
      <x:c r="H254" s="29" t="str">
        <x:v>Draft — owner review</x:v>
      </x:c>
    </x:row>
    <x:row r="255" ht="84" customHeight="1">
      <x:c r="A255" s="29" t="str">
        <x:v>BTB-043</x:v>
      </x:c>
      <x:c r="B255" s="62" t="n">
        <x:v>46365</x:v>
      </x:c>
      <x:c r="C255" s="64" t="str">
        <x:v>P5</x:v>
      </x:c>
      <x:c r="D255" s="64" t="n">
        <x:v>2</x:v>
      </x:c>
      <x:c r="E255" s="29" t="str">
        <x:v>A fresh plan can fail before it starts if it ignores work, parenting, travel, and ordinary chores.</x:v>
      </x:c>
      <x:c r="F255" s="29" t="str">
        <x:v>Slide 2 of 6. A fresh plan can fail before it starts if it ignores work, parenting, travel, and ordinary chores.</x:v>
      </x:c>
      <x:c r="G255" s="29" t="str">
        <x:v>checklist</x:v>
      </x:c>
      <x:c r="H255" s="29" t="str">
        <x:v>Draft — owner review</x:v>
      </x:c>
    </x:row>
    <x:row r="256" ht="84" customHeight="1">
      <x:c r="A256" s="29" t="str">
        <x:v>BTB-043</x:v>
      </x:c>
      <x:c r="B256" s="62" t="n">
        <x:v>46365</x:v>
      </x:c>
      <x:c r="C256" s="64" t="str">
        <x:v>P5</x:v>
      </x:c>
      <x:c r="D256" s="64" t="n">
        <x:v>3</x:v>
      </x:c>
      <x:c r="E256" s="29" t="str">
        <x:v>Put the fixed commitments in first. Leave realistic transition time between them.</x:v>
      </x:c>
      <x:c r="F256" s="29" t="str">
        <x:v>Slide 3 of 6. Put the fixed commitments in first. Leave realistic transition time between them.</x:v>
      </x:c>
      <x:c r="G256" s="29" t="str">
        <x:v>checklist</x:v>
      </x:c>
      <x:c r="H256" s="29" t="str">
        <x:v>Draft — owner review</x:v>
      </x:c>
    </x:row>
    <x:row r="257" ht="84" customHeight="1">
      <x:c r="A257" s="29" t="str">
        <x:v>BTB-043</x:v>
      </x:c>
      <x:c r="B257" s="62" t="n">
        <x:v>46365</x:v>
      </x:c>
      <x:c r="C257" s="64" t="str">
        <x:v>P5</x:v>
      </x:c>
      <x:c r="D257" s="64" t="n">
        <x:v>4</x:v>
      </x:c>
      <x:c r="E257" s="29" t="str">
        <x:v>Add one rebuilding action in the space that genuinely remains. Do not budget the same hour twice.</x:v>
      </x:c>
      <x:c r="F257" s="29" t="str">
        <x:v>Slide 4 of 6. Add one rebuilding action in the space that genuinely remains. Do not budget the same hour twice.</x:v>
      </x:c>
      <x:c r="G257" s="29" t="str">
        <x:v>checklist</x:v>
      </x:c>
      <x:c r="H257" s="29" t="str">
        <x:v>Draft — owner review</x:v>
      </x:c>
    </x:row>
    <x:row r="258" ht="84" customHeight="1">
      <x:c r="A258" s="29" t="str">
        <x:v>BTB-043</x:v>
      </x:c>
      <x:c r="B258" s="62" t="n">
        <x:v>46365</x:v>
      </x:c>
      <x:c r="C258" s="64" t="str">
        <x:v>P5</x:v>
      </x:c>
      <x:c r="D258" s="64" t="n">
        <x:v>5</x:v>
      </x:c>
      <x:c r="E258" s="29" t="str">
        <x:v>Keep some room unassigned. A plan with no margin has no place for an ordinary delay.</x:v>
      </x:c>
      <x:c r="F258" s="29" t="str">
        <x:v>Slide 5 of 6. Keep some room unassigned. A plan with no margin has no place for an ordinary delay.</x:v>
      </x:c>
      <x:c r="G258" s="29" t="str">
        <x:v>checklist</x:v>
      </x:c>
      <x:c r="H258" s="29" t="str">
        <x:v>Draft — owner review</x:v>
      </x:c>
    </x:row>
    <x:row r="259" ht="84" customHeight="1">
      <x:c r="A259" s="29" t="str">
        <x:v>BTB-043</x:v>
      </x:c>
      <x:c r="B259" s="62" t="n">
        <x:v>46365</x:v>
      </x:c>
      <x:c r="C259" s="64" t="str">
        <x:v>P5</x:v>
      </x:c>
      <x:c r="D259" s="64" t="n">
        <x:v>6</x:v>
      </x:c>
      <x:c r="E259" s="29" t="str">
        <x:v>Save this before creating a schedule that requires a different life to follow it.</x:v>
      </x:c>
      <x:c r="F259" s="29" t="str">
        <x:v>Slide 6 of 6. Save this before creating a schedule that requires a different life to follow it.</x:v>
      </x:c>
      <x:c r="G259" s="29" t="str">
        <x:v>checklist</x:v>
      </x:c>
      <x:c r="H259" s="29" t="str">
        <x:v>Draft — owner review</x:v>
      </x:c>
    </x:row>
    <x:row r="260" ht="84" customHeight="1">
      <x:c r="A260" s="29" t="str">
        <x:v>BTB-044</x:v>
      </x:c>
      <x:c r="B260" s="62" t="n">
        <x:v>46366</x:v>
      </x:c>
      <x:c r="C260" s="64" t="str">
        <x:v>P6</x:v>
      </x:c>
      <x:c r="D260" s="64" t="n">
        <x:v>1</x:v>
      </x:c>
      <x:c r="E260" s="29" t="str">
        <x:v>Work and money belong in an honest rebuilding story.</x:v>
      </x:c>
      <x:c r="F260" s="29" t="str">
        <x:v>Slide 1 of 6. Work and money belong in an honest rebuilding story.</x:v>
      </x:c>
      <x:c r="G260" s="29" t="str">
        <x:v>letter</x:v>
      </x:c>
      <x:c r="H260" s="29" t="str">
        <x:v>Draft — owner review</x:v>
      </x:c>
    </x:row>
    <x:row r="261" ht="84" customHeight="1">
      <x:c r="A261" s="29" t="str">
        <x:v>BTB-044</x:v>
      </x:c>
      <x:c r="B261" s="62" t="n">
        <x:v>46366</x:v>
      </x:c>
      <x:c r="C261" s="64" t="str">
        <x:v>P6</x:v>
      </x:c>
      <x:c r="D261" s="64" t="n">
        <x:v>2</x:v>
      </x:c>
      <x:c r="E261" s="29" t="str">
        <x:v>My experience has included trying to keep responsibilities moving while work and business plans did not unfold as hoped.</x:v>
      </x:c>
      <x:c r="F261" s="29" t="str">
        <x:v>Slide 2 of 6. My experience has included trying to keep responsibilities moving while work and business plans did not unfold as hoped.</x:v>
      </x:c>
      <x:c r="G261" s="29" t="str">
        <x:v>letter</x:v>
      </x:c>
      <x:c r="H261" s="29" t="str">
        <x:v>Draft — owner review</x:v>
      </x:c>
    </x:row>
    <x:row r="262" ht="84" customHeight="1">
      <x:c r="A262" s="29" t="str">
        <x:v>BTB-044</x:v>
      </x:c>
      <x:c r="B262" s="62" t="n">
        <x:v>46366</x:v>
      </x:c>
      <x:c r="C262" s="64" t="str">
        <x:v>P6</x:v>
      </x:c>
      <x:c r="D262" s="64" t="n">
        <x:v>3</x:v>
      </x:c>
      <x:c r="E262" s="29" t="str">
        <x:v>I do not want to replace that reality with a success story that has not happened.</x:v>
      </x:c>
      <x:c r="F262" s="29" t="str">
        <x:v>Slide 3 of 6. I do not want to replace that reality with a success story that has not happened.</x:v>
      </x:c>
      <x:c r="G262" s="29" t="str">
        <x:v>letter</x:v>
      </x:c>
      <x:c r="H262" s="29" t="str">
        <x:v>Draft — owner review</x:v>
      </x:c>
    </x:row>
    <x:row r="263" ht="84" customHeight="1">
      <x:c r="A263" s="29" t="str">
        <x:v>BTB-044</x:v>
      </x:c>
      <x:c r="B263" s="62" t="n">
        <x:v>46366</x:v>
      </x:c>
      <x:c r="C263" s="64" t="str">
        <x:v>P6</x:v>
      </x:c>
      <x:c r="D263" s="64" t="n">
        <x:v>4</x:v>
      </x:c>
      <x:c r="E263" s="29" t="str">
        <x:v>This page will talk about practical decisions, uncertainty, and starting again without turning a setback into a character flaw.</x:v>
      </x:c>
      <x:c r="F263" s="29" t="str">
        <x:v>Slide 4 of 6. This page will talk about practical decisions, uncertainty, and starting again without turning a setback into a character flaw.</x:v>
      </x:c>
      <x:c r="G263" s="29" t="str">
        <x:v>letter</x:v>
      </x:c>
      <x:c r="H263" s="29" t="str">
        <x:v>Draft — owner review</x:v>
      </x:c>
    </x:row>
    <x:row r="264" ht="84" customHeight="1">
      <x:c r="A264" s="29" t="str">
        <x:v>BTB-044</x:v>
      </x:c>
      <x:c r="B264" s="62" t="n">
        <x:v>46366</x:v>
      </x:c>
      <x:c r="C264" s="64" t="str">
        <x:v>P6</x:v>
      </x:c>
      <x:c r="D264" s="64" t="n">
        <x:v>5</x:v>
      </x:c>
      <x:c r="E264" s="29" t="str">
        <x:v>It will not offer investment tips, guaranteed income, or a shortcut out of financial pressure.</x:v>
      </x:c>
      <x:c r="F264" s="29" t="str">
        <x:v>Slide 5 of 6. It will not offer investment tips, guaranteed income, or a shortcut out of financial pressure.</x:v>
      </x:c>
      <x:c r="G264" s="29" t="str">
        <x:v>letter</x:v>
      </x:c>
      <x:c r="H264" s="29" t="str">
        <x:v>Draft — owner review</x:v>
      </x:c>
    </x:row>
    <x:row r="265" ht="84" customHeight="1">
      <x:c r="A265" s="29" t="str">
        <x:v>BTB-044</x:v>
      </x:c>
      <x:c r="B265" s="62" t="n">
        <x:v>46366</x:v>
      </x:c>
      <x:c r="C265" s="64" t="str">
        <x:v>P6</x:v>
      </x:c>
      <x:c r="D265" s="64" t="n">
        <x:v>6</x:v>
      </x:c>
      <x:c r="E265" s="29" t="str">
        <x:v>Follow for the part of rebuilding that happens between the inspirational moments.</x:v>
      </x:c>
      <x:c r="F265" s="29" t="str">
        <x:v>Slide 6 of 6. Follow for the part of rebuilding that happens between the inspirational moments.</x:v>
      </x:c>
      <x:c r="G265" s="29" t="str">
        <x:v>letter</x:v>
      </x:c>
      <x:c r="H265" s="29" t="str">
        <x:v>Draft — owner review</x:v>
      </x:c>
    </x:row>
    <x:row r="266" ht="84" customHeight="1">
      <x:c r="A266" s="29" t="str">
        <x:v>BTB-045</x:v>
      </x:c>
      <x:c r="B266" s="62" t="n">
        <x:v>46367</x:v>
      </x:c>
      <x:c r="C266" s="64" t="str">
        <x:v>P3</x:v>
      </x:c>
      <x:c r="D266" s="64" t="n">
        <x:v>1</x:v>
      </x:c>
      <x:c r="E266" s="29" t="str">
        <x:v>An ordinary afternoon can be meaningful parenting time.</x:v>
      </x:c>
      <x:c r="F266" s="29" t="str">
        <x:v>Slide 1 of 6. An ordinary afternoon can be meaningful parenting time.</x:v>
      </x:c>
      <x:c r="G266" s="29" t="str">
        <x:v>editorial</x:v>
      </x:c>
      <x:c r="H266" s="29" t="str">
        <x:v>Draft — owner review</x:v>
      </x:c>
    </x:row>
    <x:row r="267" ht="84" customHeight="1">
      <x:c r="A267" s="29" t="str">
        <x:v>BTB-045</x:v>
      </x:c>
      <x:c r="B267" s="62" t="n">
        <x:v>46367</x:v>
      </x:c>
      <x:c r="C267" s="64" t="str">
        <x:v>P3</x:v>
      </x:c>
      <x:c r="D267" s="64" t="n">
        <x:v>2</x:v>
      </x:c>
      <x:c r="E267" s="29" t="str">
        <x:v>You do not have to turn every visit into an event that proves how much you care.</x:v>
      </x:c>
      <x:c r="F267" s="29" t="str">
        <x:v>Slide 2 of 6. You do not have to turn every visit into an event that proves how much you care.</x:v>
      </x:c>
      <x:c r="G267" s="29" t="str">
        <x:v>editorial</x:v>
      </x:c>
      <x:c r="H267" s="29" t="str">
        <x:v>Draft — owner review</x:v>
      </x:c>
    </x:row>
    <x:row r="268" ht="84" customHeight="1">
      <x:c r="A268" s="29" t="str">
        <x:v>BTB-045</x:v>
      </x:c>
      <x:c r="B268" s="62" t="n">
        <x:v>46367</x:v>
      </x:c>
      <x:c r="C268" s="64" t="str">
        <x:v>P3</x:v>
      </x:c>
      <x:c r="D268" s="64" t="n">
        <x:v>3</x:v>
      </x:c>
      <x:c r="E268" s="29" t="str">
        <x:v>There can be room for homework, a simple meal, conversation, or doing something small together.</x:v>
      </x:c>
      <x:c r="F268" s="29" t="str">
        <x:v>Slide 3 of 6. There can be room for homework, a simple meal, conversation, or doing something small together.</x:v>
      </x:c>
      <x:c r="G268" s="29" t="str">
        <x:v>editorial</x:v>
      </x:c>
      <x:c r="H268" s="29" t="str">
        <x:v>Draft — owner review</x:v>
      </x:c>
    </x:row>
    <x:row r="269" ht="84" customHeight="1">
      <x:c r="A269" s="29" t="str">
        <x:v>BTB-045</x:v>
      </x:c>
      <x:c r="B269" s="62" t="n">
        <x:v>46367</x:v>
      </x:c>
      <x:c r="C269" s="64" t="str">
        <x:v>P3</x:v>
      </x:c>
      <x:c r="D269" s="64" t="n">
        <x:v>4</x:v>
      </x:c>
      <x:c r="E269" s="29" t="str">
        <x:v>Ask your child about something they are interested in. Let their answer shape part of the time.</x:v>
      </x:c>
      <x:c r="F269" s="29" t="str">
        <x:v>Slide 4 of 6. Ask your child about something they are interested in. Let their answer shape part of the time.</x:v>
      </x:c>
      <x:c r="G269" s="29" t="str">
        <x:v>editorial</x:v>
      </x:c>
      <x:c r="H269" s="29" t="str">
        <x:v>Draft — owner review</x:v>
      </x:c>
    </x:row>
    <x:row r="270" ht="84" customHeight="1">
      <x:c r="A270" s="29" t="str">
        <x:v>BTB-045</x:v>
      </x:c>
      <x:c r="B270" s="62" t="n">
        <x:v>46367</x:v>
      </x:c>
      <x:c r="C270" s="64" t="str">
        <x:v>P3</x:v>
      </x:c>
      <x:c r="D270" s="64" t="n">
        <x:v>5</x:v>
      </x:c>
      <x:c r="E270" s="29" t="str">
        <x:v>Work within your arrangements and resources. Your time together does not need to compete with another household.</x:v>
      </x:c>
      <x:c r="F270" s="29" t="str">
        <x:v>Slide 5 of 6. Work within your arrangements and resources. Your time together does not need to compete with another household.</x:v>
      </x:c>
      <x:c r="G270" s="29" t="str">
        <x:v>editorial</x:v>
      </x:c>
      <x:c r="H270" s="29" t="str">
        <x:v>Draft — owner review</x:v>
      </x:c>
    </x:row>
    <x:row r="271" ht="84" customHeight="1">
      <x:c r="A271" s="29" t="str">
        <x:v>BTB-045</x:v>
      </x:c>
      <x:c r="B271" s="62" t="n">
        <x:v>46367</x:v>
      </x:c>
      <x:c r="C271" s="64" t="str">
        <x:v>P3</x:v>
      </x:c>
      <x:c r="D271" s="64" t="n">
        <x:v>6</x:v>
      </x:c>
      <x:c r="E271" s="29" t="str">
        <x:v>Send this to a parent who feels pressure to make every moment spectacular.</x:v>
      </x:c>
      <x:c r="F271" s="29" t="str">
        <x:v>Slide 6 of 6. Send this to a parent who feels pressure to make every moment spectacular.</x:v>
      </x:c>
      <x:c r="G271" s="29" t="str">
        <x:v>editorial</x:v>
      </x:c>
      <x:c r="H271" s="29" t="str">
        <x:v>Draft — owner review</x:v>
      </x:c>
    </x:row>
    <x:row r="272" ht="84" customHeight="1">
      <x:c r="A272" s="29" t="str">
        <x:v>BTB-046</x:v>
      </x:c>
      <x:c r="B272" s="62" t="n">
        <x:v>46368</x:v>
      </x:c>
      <x:c r="C272" s="64" t="str">
        <x:v>P4</x:v>
      </x:c>
      <x:c r="D272" s="64" t="n">
        <x:v>1</x:v>
      </x:c>
      <x:c r="E272" s="29" t="str">
        <x:v>“I need some space” works better with a little clarity.</x:v>
      </x:c>
      <x:c r="F272" s="29" t="str">
        <x:v>Slide 1 of 6. “I need some space” works better with a little clarity.</x:v>
      </x:c>
      <x:c r="G272" s="29" t="str">
        <x:v>script</x:v>
      </x:c>
      <x:c r="H272" s="29" t="str">
        <x:v>Draft — owner review</x:v>
      </x:c>
    </x:row>
    <x:row r="273" ht="84" customHeight="1">
      <x:c r="A273" s="29" t="str">
        <x:v>BTB-046</x:v>
      </x:c>
      <x:c r="B273" s="62" t="n">
        <x:v>46368</x:v>
      </x:c>
      <x:c r="C273" s="64" t="str">
        <x:v>P4</x:v>
      </x:c>
      <x:c r="D273" s="64" t="n">
        <x:v>2</x:v>
      </x:c>
      <x:c r="E273" s="29" t="str">
        <x:v>Without context, it can leave the other person guessing whether the conversation is paused or abandoned.</x:v>
      </x:c>
      <x:c r="F273" s="29" t="str">
        <x:v>Slide 2 of 6. Without context, it can leave the other person guessing whether the conversation is paused or abandoned.</x:v>
      </x:c>
      <x:c r="G273" s="29" t="str">
        <x:v>script</x:v>
      </x:c>
      <x:c r="H273" s="29" t="str">
        <x:v>Draft — owner review</x:v>
      </x:c>
    </x:row>
    <x:row r="274" ht="84" customHeight="1">
      <x:c r="A274" s="29" t="str">
        <x:v>BTB-046</x:v>
      </x:c>
      <x:c r="B274" s="62" t="n">
        <x:v>46368</x:v>
      </x:c>
      <x:c r="C274" s="64" t="str">
        <x:v>P4</x:v>
      </x:c>
      <x:c r="D274" s="64" t="n">
        <x:v>3</x:v>
      </x:c>
      <x:c r="E274" s="29" t="str">
        <x:v>Where safe, try: “I need a break from this discussion. I can return to it tomorrow evening.”</x:v>
      </x:c>
      <x:c r="F274" s="29" t="str">
        <x:v>Slide 3 of 6. Where safe, try: “I need a break from this discussion. I can return to it tomorrow evening.”</x:v>
      </x:c>
      <x:c r="G274" s="29" t="str">
        <x:v>script</x:v>
      </x:c>
      <x:c r="H274" s="29" t="str">
        <x:v>Draft — owner review</x:v>
      </x:c>
    </x:row>
    <x:row r="275" ht="84" customHeight="1">
      <x:c r="A275" s="29" t="str">
        <x:v>BTB-046</x:v>
      </x:c>
      <x:c r="B275" s="62" t="n">
        <x:v>46368</x:v>
      </x:c>
      <x:c r="C275" s="64" t="str">
        <x:v>P4</x:v>
      </x:c>
      <x:c r="D275" s="64" t="n">
        <x:v>4</x:v>
      </x:c>
      <x:c r="E275" s="29" t="str">
        <x:v>Only offer a return time you can keep. If you cannot, communicate the change rather than disappearing.</x:v>
      </x:c>
      <x:c r="F275" s="29" t="str">
        <x:v>Slide 4 of 6. Only offer a return time you can keep. If you cannot, communicate the change rather than disappearing.</x:v>
      </x:c>
      <x:c r="G275" s="29" t="str">
        <x:v>script</x:v>
      </x:c>
      <x:c r="H275" s="29" t="str">
        <x:v>Draft — owner review</x:v>
      </x:c>
    </x:row>
    <x:row r="276" ht="84" customHeight="1">
      <x:c r="A276" s="29" t="str">
        <x:v>BTB-046</x:v>
      </x:c>
      <x:c r="B276" s="62" t="n">
        <x:v>46368</x:v>
      </x:c>
      <x:c r="C276" s="64" t="str">
        <x:v>P4</x:v>
      </x:c>
      <x:c r="D276" s="64" t="n">
        <x:v>5</x:v>
      </x:c>
      <x:c r="E276" s="29" t="str">
        <x:v>This is not suitable for every situation. Safety needs and required communication take priority.</x:v>
      </x:c>
      <x:c r="F276" s="29" t="str">
        <x:v>Slide 5 of 6. This is not suitable for every situation. Safety needs and required communication take priority.</x:v>
      </x:c>
      <x:c r="G276" s="29" t="str">
        <x:v>script</x:v>
      </x:c>
      <x:c r="H276" s="29" t="str">
        <x:v>Draft — owner review</x:v>
      </x:c>
    </x:row>
    <x:row r="277" ht="84" customHeight="1">
      <x:c r="A277" s="29" t="str">
        <x:v>BTB-046</x:v>
      </x:c>
      <x:c r="B277" s="62" t="n">
        <x:v>46368</x:v>
      </x:c>
      <x:c r="C277" s="64" t="str">
        <x:v>P4</x:v>
      </x:c>
      <x:c r="D277" s="64" t="n">
        <x:v>6</x:v>
      </x:c>
      <x:c r="E277" s="29" t="str">
        <x:v>Save this for a pause that needs to be a boundary, not a punishment.</x:v>
      </x:c>
      <x:c r="F277" s="29" t="str">
        <x:v>Slide 6 of 6. Save this for a pause that needs to be a boundary, not a punishment.</x:v>
      </x:c>
      <x:c r="G277" s="29" t="str">
        <x:v>script</x:v>
      </x:c>
      <x:c r="H277" s="29" t="str">
        <x:v>Draft — owner review</x:v>
      </x:c>
    </x:row>
    <x:row r="278" ht="84" customHeight="1">
      <x:c r="A278" s="29" t="str">
        <x:v>BTB-047</x:v>
      </x:c>
      <x:c r="B278" s="62" t="n">
        <x:v>46369</x:v>
      </x:c>
      <x:c r="C278" s="64" t="str">
        <x:v>P5</x:v>
      </x:c>
      <x:c r="D278" s="64" t="n">
        <x:v>1</x:v>
      </x:c>
      <x:c r="E278" s="29" t="str">
        <x:v>Keep the document. Give it a name you can find later.</x:v>
      </x:c>
      <x:c r="F278" s="29" t="str">
        <x:v>Slide 1 of 6. Keep the document. Give it a name you can find later.</x:v>
      </x:c>
      <x:c r="G278" s="29" t="str">
        <x:v>checklist</x:v>
      </x:c>
      <x:c r="H278" s="29" t="str">
        <x:v>Draft — owner review</x:v>
      </x:c>
    </x:row>
    <x:row r="279" ht="84" customHeight="1">
      <x:c r="A279" s="29" t="str">
        <x:v>BTB-047</x:v>
      </x:c>
      <x:c r="B279" s="62" t="n">
        <x:v>46369</x:v>
      </x:c>
      <x:c r="C279" s="64" t="str">
        <x:v>P5</x:v>
      </x:c>
      <x:c r="D279" s="64" t="n">
        <x:v>2</x:v>
      </x:c>
      <x:c r="E279" s="29" t="str">
        <x:v>An important file called “final-final-new” is a future problem waiting for a stressful day.</x:v>
      </x:c>
      <x:c r="F279" s="29" t="str">
        <x:v>Slide 2 of 6. An important file called “final-final-new” is a future problem waiting for a stressful day.</x:v>
      </x:c>
      <x:c r="G279" s="29" t="str">
        <x:v>checklist</x:v>
      </x:c>
      <x:c r="H279" s="29" t="str">
        <x:v>Draft — owner review</x:v>
      </x:c>
    </x:row>
    <x:row r="280" ht="84" customHeight="1">
      <x:c r="A280" s="29" t="str">
        <x:v>BTB-047</x:v>
      </x:c>
      <x:c r="B280" s="62" t="n">
        <x:v>46369</x:v>
      </x:c>
      <x:c r="C280" s="64" t="str">
        <x:v>P5</x:v>
      </x:c>
      <x:c r="D280" s="64" t="n">
        <x:v>3</x:v>
      </x:c>
      <x:c r="E280" s="29" t="str">
        <x:v>Use a simple naming pattern: date, document type, short description. Store it in the appropriate private folder.</x:v>
      </x:c>
      <x:c r="F280" s="29" t="str">
        <x:v>Slide 3 of 6. Use a simple naming pattern: date, document type, short description. Store it in the appropriate private folder.</x:v>
      </x:c>
      <x:c r="G280" s="29" t="str">
        <x:v>checklist</x:v>
      </x:c>
      <x:c r="H280" s="29" t="str">
        <x:v>Draft — owner review</x:v>
      </x:c>
    </x:row>
    <x:row r="281" ht="84" customHeight="1">
      <x:c r="A281" s="29" t="str">
        <x:v>BTB-047</x:v>
      </x:c>
      <x:c r="B281" s="62" t="n">
        <x:v>46369</x:v>
      </x:c>
      <x:c r="C281" s="64" t="str">
        <x:v>P5</x:v>
      </x:c>
      <x:c r="D281" s="64" t="n">
        <x:v>4</x:v>
      </x:c>
      <x:c r="E281" s="29" t="str">
        <x:v>Keep originals intact. Avoid sending sensitive records to tools or people who do not need them.</x:v>
      </x:c>
      <x:c r="F281" s="29" t="str">
        <x:v>Slide 4 of 6. Keep originals intact. Avoid sending sensitive records to tools or people who do not need them.</x:v>
      </x:c>
      <x:c r="G281" s="29" t="str">
        <x:v>checklist</x:v>
      </x:c>
      <x:c r="H281" s="29" t="str">
        <x:v>Draft — owner review</x:v>
      </x:c>
    </x:row>
    <x:row r="282" ht="84" customHeight="1">
      <x:c r="A282" s="29" t="str">
        <x:v>BTB-047</x:v>
      </x:c>
      <x:c r="B282" s="62" t="n">
        <x:v>46369</x:v>
      </x:c>
      <x:c r="C282" s="64" t="str">
        <x:v>P5</x:v>
      </x:c>
      <x:c r="D282" s="64" t="n">
        <x:v>5</x:v>
      </x:c>
      <x:c r="E282" s="29" t="str">
        <x:v>Follow professional guidance about what to retain, how to store it, and any deadlines that apply.</x:v>
      </x:c>
      <x:c r="F282" s="29" t="str">
        <x:v>Slide 5 of 6. Follow professional guidance about what to retain, how to store it, and any deadlines that apply.</x:v>
      </x:c>
      <x:c r="G282" s="29" t="str">
        <x:v>checklist</x:v>
      </x:c>
      <x:c r="H282" s="29" t="str">
        <x:v>Draft — owner review</x:v>
      </x:c>
    </x:row>
    <x:row r="283" ht="84" customHeight="1">
      <x:c r="A283" s="29" t="str">
        <x:v>BTB-047</x:v>
      </x:c>
      <x:c r="B283" s="62" t="n">
        <x:v>46369</x:v>
      </x:c>
      <x:c r="C283" s="64" t="str">
        <x:v>P5</x:v>
      </x:c>
      <x:c r="D283" s="64" t="n">
        <x:v>6</x:v>
      </x:c>
      <x:c r="E283" s="29" t="str">
        <x:v>Save this small rebuilding task: organise one category of documents, not your entire life.</x:v>
      </x:c>
      <x:c r="F283" s="29" t="str">
        <x:v>Slide 6 of 6. Save this small rebuilding task: organise one category of documents, not your entire life.</x:v>
      </x:c>
      <x:c r="G283" s="29" t="str">
        <x:v>checklist</x:v>
      </x:c>
      <x:c r="H283" s="29" t="str">
        <x:v>Draft — owner review</x:v>
      </x:c>
    </x:row>
    <x:row r="284" ht="84" customHeight="1">
      <x:c r="A284" s="29" t="str">
        <x:v>BTB-048</x:v>
      </x:c>
      <x:c r="B284" s="62" t="n">
        <x:v>46370</x:v>
      </x:c>
      <x:c r="C284" s="64" t="str">
        <x:v>P1</x:v>
      </x:c>
      <x:c r="D284" s="64" t="n">
        <x:v>1</x:v>
      </x:c>
      <x:c r="E284" s="29" t="str">
        <x:v>You can be proud of surviving and tired of just surviving.</x:v>
      </x:c>
      <x:c r="F284" s="29" t="str">
        <x:v>Slide 1 of 6. You can be proud of surviving and tired of just surviving.</x:v>
      </x:c>
      <x:c r="G284" s="29" t="str">
        <x:v>contrast</x:v>
      </x:c>
      <x:c r="H284" s="29" t="str">
        <x:v>Draft — owner review</x:v>
      </x:c>
    </x:row>
    <x:row r="285" ht="84" customHeight="1">
      <x:c r="A285" s="29" t="str">
        <x:v>BTB-048</x:v>
      </x:c>
      <x:c r="B285" s="62" t="n">
        <x:v>46370</x:v>
      </x:c>
      <x:c r="C285" s="64" t="str">
        <x:v>P1</x:v>
      </x:c>
      <x:c r="D285" s="64" t="n">
        <x:v>2</x:v>
      </x:c>
      <x:c r="E285" s="29" t="str">
        <x:v>Gratitude for getting through does not prevent you from wanting a life that feels more livable.</x:v>
      </x:c>
      <x:c r="F285" s="29" t="str">
        <x:v>Slide 2 of 6. Gratitude for getting through does not prevent you from wanting a life that feels more livable.</x:v>
      </x:c>
      <x:c r="G285" s="29" t="str">
        <x:v>contrast</x:v>
      </x:c>
      <x:c r="H285" s="29" t="str">
        <x:v>Draft — owner review</x:v>
      </x:c>
    </x:row>
    <x:row r="286" ht="84" customHeight="1">
      <x:c r="A286" s="29" t="str">
        <x:v>BTB-048</x:v>
      </x:c>
      <x:c r="B286" s="62" t="n">
        <x:v>46370</x:v>
      </x:c>
      <x:c r="C286" s="64" t="str">
        <x:v>P1</x:v>
      </x:c>
      <x:c r="D286" s="64" t="n">
        <x:v>3</x:v>
      </x:c>
      <x:c r="E286" s="29" t="str">
        <x:v>Ask what is missing now, beyond the immediate problem: connection, interest, stability, rest, or something else.</x:v>
      </x:c>
      <x:c r="F286" s="29" t="str">
        <x:v>Slide 3 of 6. Ask what is missing now, beyond the immediate problem: connection, interest, stability, rest, or something else.</x:v>
      </x:c>
      <x:c r="G286" s="29" t="str">
        <x:v>contrast</x:v>
      </x:c>
      <x:c r="H286" s="29" t="str">
        <x:v>Draft — owner review</x:v>
      </x:c>
    </x:row>
    <x:row r="287" ht="84" customHeight="1">
      <x:c r="A287" s="29" t="str">
        <x:v>BTB-048</x:v>
      </x:c>
      <x:c r="B287" s="62" t="n">
        <x:v>46370</x:v>
      </x:c>
      <x:c r="C287" s="64" t="str">
        <x:v>P1</x:v>
      </x:c>
      <x:c r="D287" s="64" t="n">
        <x:v>4</x:v>
      </x:c>
      <x:c r="E287" s="29" t="str">
        <x:v>Choose one small experiment that addresses that need without creating a new crisis to manage.</x:v>
      </x:c>
      <x:c r="F287" s="29" t="str">
        <x:v>Slide 4 of 6. Choose one small experiment that addresses that need without creating a new crisis to manage.</x:v>
      </x:c>
      <x:c r="G287" s="29" t="str">
        <x:v>contrast</x:v>
      </x:c>
      <x:c r="H287" s="29" t="str">
        <x:v>Draft — owner review</x:v>
      </x:c>
    </x:row>
    <x:row r="288" ht="84" customHeight="1">
      <x:c r="A288" s="29" t="str">
        <x:v>BTB-048</x:v>
      </x:c>
      <x:c r="B288" s="62" t="n">
        <x:v>46370</x:v>
      </x:c>
      <x:c r="C288" s="64" t="str">
        <x:v>P1</x:v>
      </x:c>
      <x:c r="D288" s="64" t="n">
        <x:v>5</x:v>
      </x:c>
      <x:c r="E288" s="29" t="str">
        <x:v>You do not need to reject your past effort in order to ask for more from the next chapter.</x:v>
      </x:c>
      <x:c r="F288" s="29" t="str">
        <x:v>Slide 5 of 6. You do not need to reject your past effort in order to ask for more from the next chapter.</x:v>
      </x:c>
      <x:c r="G288" s="29" t="str">
        <x:v>contrast</x:v>
      </x:c>
      <x:c r="H288" s="29" t="str">
        <x:v>Draft — owner review</x:v>
      </x:c>
    </x:row>
    <x:row r="289" ht="84" customHeight="1">
      <x:c r="A289" s="29" t="str">
        <x:v>BTB-048</x:v>
      </x:c>
      <x:c r="B289" s="62" t="n">
        <x:v>46370</x:v>
      </x:c>
      <x:c r="C289" s="64" t="str">
        <x:v>P1</x:v>
      </x:c>
      <x:c r="D289" s="64" t="n">
        <x:v>6</x:v>
      </x:c>
      <x:c r="E289" s="29" t="str">
        <x:v>Share this with someone ready for life to be more than getting through the week.</x:v>
      </x:c>
      <x:c r="F289" s="29" t="str">
        <x:v>Slide 6 of 6. Share this with someone ready for life to be more than getting through the week.</x:v>
      </x:c>
      <x:c r="G289" s="29" t="str">
        <x:v>contrast</x:v>
      </x:c>
      <x:c r="H289" s="29" t="str">
        <x:v>Draft — owner review</x:v>
      </x:c>
    </x:row>
    <x:row r="290" ht="84" customHeight="1">
      <x:c r="A290" s="29" t="str">
        <x:v>BTB-049</x:v>
      </x:c>
      <x:c r="B290" s="62" t="n">
        <x:v>46371</x:v>
      </x:c>
      <x:c r="C290" s="64" t="str">
        <x:v>P2</x:v>
      </x:c>
      <x:c r="D290" s="64" t="n">
        <x:v>1</x:v>
      </x:c>
      <x:c r="E290" s="29" t="str">
        <x:v>Give yourself an option other than checking their profile again.</x:v>
      </x:c>
      <x:c r="F290" s="29" t="str">
        <x:v>Slide 1 of 6. Give yourself an option other than checking their profile again.</x:v>
      </x:c>
      <x:c r="G290" s="29" t="str">
        <x:v>checklist</x:v>
      </x:c>
      <x:c r="H290" s="29" t="str">
        <x:v>Draft — owner review</x:v>
      </x:c>
    </x:row>
    <x:row r="291" ht="84" customHeight="1">
      <x:c r="A291" s="29" t="str">
        <x:v>BTB-049</x:v>
      </x:c>
      <x:c r="B291" s="62" t="n">
        <x:v>46371</x:v>
      </x:c>
      <x:c r="C291" s="64" t="str">
        <x:v>P2</x:v>
      </x:c>
      <x:c r="D291" s="64" t="n">
        <x:v>2</x:v>
      </x:c>
      <x:c r="E291" s="29" t="str">
        <x:v>Before opening the app, ask what you are hoping to find: reassurance, an explanation, or proof of something.</x:v>
      </x:c>
      <x:c r="F291" s="29" t="str">
        <x:v>Slide 2 of 6. Before opening the app, ask what you are hoping to find: reassurance, an explanation, or proof of something.</x:v>
      </x:c>
      <x:c r="G291" s="29" t="str">
        <x:v>checklist</x:v>
      </x:c>
      <x:c r="H291" s="29" t="str">
        <x:v>Draft — owner review</x:v>
      </x:c>
    </x:row>
    <x:row r="292" ht="84" customHeight="1">
      <x:c r="A292" s="29" t="str">
        <x:v>BTB-049</x:v>
      </x:c>
      <x:c r="B292" s="62" t="n">
        <x:v>46371</x:v>
      </x:c>
      <x:c r="C292" s="64" t="str">
        <x:v>P2</x:v>
      </x:c>
      <x:c r="D292" s="64" t="n">
        <x:v>3</x:v>
      </x:c>
      <x:c r="E292" s="29" t="str">
        <x:v>Be honest about whether another look is likely to answer that question.</x:v>
      </x:c>
      <x:c r="F292" s="29" t="str">
        <x:v>Slide 3 of 6. Be honest about whether another look is likely to answer that question.</x:v>
      </x:c>
      <x:c r="G292" s="29" t="str">
        <x:v>checklist</x:v>
      </x:c>
      <x:c r="H292" s="29" t="str">
        <x:v>Draft — owner review</x:v>
      </x:c>
    </x:row>
    <x:row r="293" ht="84" customHeight="1">
      <x:c r="A293" s="29" t="str">
        <x:v>BTB-049</x:v>
      </x:c>
      <x:c r="B293" s="62" t="n">
        <x:v>46371</x:v>
      </x:c>
      <x:c r="C293" s="64" t="str">
        <x:v>P2</x:v>
      </x:c>
      <x:c r="D293" s="64" t="n">
        <x:v>4</x:v>
      </x:c>
      <x:c r="E293" s="29" t="str">
        <x:v>Choose an alternative for this moment: close the app, write the question down, or contact someone you trust.</x:v>
      </x:c>
      <x:c r="F293" s="29" t="str">
        <x:v>Slide 4 of 6. Choose an alternative for this moment: close the app, write the question down, or contact someone you trust.</x:v>
      </x:c>
      <x:c r="G293" s="29" t="str">
        <x:v>checklist</x:v>
      </x:c>
      <x:c r="H293" s="29" t="str">
        <x:v>Draft — owner review</x:v>
      </x:c>
    </x:row>
    <x:row r="294" ht="84" customHeight="1">
      <x:c r="A294" s="29" t="str">
        <x:v>BTB-049</x:v>
      </x:c>
      <x:c r="B294" s="62" t="n">
        <x:v>46371</x:v>
      </x:c>
      <x:c r="C294" s="64" t="str">
        <x:v>P2</x:v>
      </x:c>
      <x:c r="D294" s="64" t="n">
        <x:v>5</x:v>
      </x:c>
      <x:c r="E294" s="29" t="str">
        <x:v>Adjust optional notifications where appropriate, while keeping necessary parenting, work, or safety communication accessible.</x:v>
      </x:c>
      <x:c r="F294" s="29" t="str">
        <x:v>Slide 5 of 6. Adjust optional notifications where appropriate, while keeping necessary parenting, work, or safety communication accessible.</x:v>
      </x:c>
      <x:c r="G294" s="29" t="str">
        <x:v>checklist</x:v>
      </x:c>
      <x:c r="H294" s="29" t="str">
        <x:v>Draft — owner review</x:v>
      </x:c>
    </x:row>
    <x:row r="295" ht="84" customHeight="1">
      <x:c r="A295" s="29" t="str">
        <x:v>BTB-049</x:v>
      </x:c>
      <x:c r="B295" s="62" t="n">
        <x:v>46371</x:v>
      </x:c>
      <x:c r="C295" s="64" t="str">
        <x:v>P2</x:v>
      </x:c>
      <x:c r="D295" s="64" t="n">
        <x:v>6</x:v>
      </x:c>
      <x:c r="E295" s="29" t="str">
        <x:v>Save this for the impulse to seek certainty from a screen that may not provide it.</x:v>
      </x:c>
      <x:c r="F295" s="29" t="str">
        <x:v>Slide 6 of 6. Save this for the impulse to seek certainty from a screen that may not provide it.</x:v>
      </x:c>
      <x:c r="G295" s="29" t="str">
        <x:v>checklist</x:v>
      </x:c>
      <x:c r="H295" s="29" t="str">
        <x:v>Draft — owner review</x:v>
      </x:c>
    </x:row>
    <x:row r="296" ht="84" customHeight="1">
      <x:c r="A296" s="29" t="str">
        <x:v>BTB-050</x:v>
      </x:c>
      <x:c r="B296" s="62" t="n">
        <x:v>46372</x:v>
      </x:c>
      <x:c r="C296" s="64" t="str">
        <x:v>P3</x:v>
      </x:c>
      <x:c r="D296" s="64" t="n">
        <x:v>1</x:v>
      </x:c>
      <x:c r="E296" s="29" t="str">
        <x:v>You can acknowledge your child's feelings without criticising the other parent.</x:v>
      </x:c>
      <x:c r="F296" s="29" t="str">
        <x:v>Slide 1 of 6. You can acknowledge your child's feelings without criticising the other parent.</x:v>
      </x:c>
      <x:c r="G296" s="29" t="str">
        <x:v>script</x:v>
      </x:c>
      <x:c r="H296" s="29" t="str">
        <x:v>Draft — owner review</x:v>
      </x:c>
    </x:row>
    <x:row r="297" ht="84" customHeight="1">
      <x:c r="A297" s="29" t="str">
        <x:v>BTB-050</x:v>
      </x:c>
      <x:c r="B297" s="62" t="n">
        <x:v>46372</x:v>
      </x:c>
      <x:c r="C297" s="64" t="str">
        <x:v>P3</x:v>
      </x:c>
      <x:c r="D297" s="64" t="n">
        <x:v>2</x:v>
      </x:c>
      <x:c r="E297" s="29" t="str">
        <x:v>A child can be disappointed about something without needing an adult explanation of who is to blame.</x:v>
      </x:c>
      <x:c r="F297" s="29" t="str">
        <x:v>Slide 2 of 6. A child can be disappointed about something without needing an adult explanation of who is to blame.</x:v>
      </x:c>
      <x:c r="G297" s="29" t="str">
        <x:v>script</x:v>
      </x:c>
      <x:c r="H297" s="29" t="str">
        <x:v>Draft — owner review</x:v>
      </x:c>
    </x:row>
    <x:row r="298" ht="84" customHeight="1">
      <x:c r="A298" s="29" t="str">
        <x:v>BTB-050</x:v>
      </x:c>
      <x:c r="B298" s="62" t="n">
        <x:v>46372</x:v>
      </x:c>
      <x:c r="C298" s="64" t="str">
        <x:v>P3</x:v>
      </x:c>
      <x:c r="D298" s="64" t="n">
        <x:v>3</x:v>
      </x:c>
      <x:c r="E298" s="29" t="str">
        <x:v>Try: “You were looking forward to that. I can understand why you're disappointed.”</x:v>
      </x:c>
      <x:c r="F298" s="29" t="str">
        <x:v>Slide 3 of 6. Try: “You were looking forward to that. I can understand why you're disappointed.”</x:v>
      </x:c>
      <x:c r="G298" s="29" t="str">
        <x:v>script</x:v>
      </x:c>
      <x:c r="H298" s="29" t="str">
        <x:v>Draft — owner review</x:v>
      </x:c>
    </x:row>
    <x:row r="299" ht="84" customHeight="1">
      <x:c r="A299" s="29" t="str">
        <x:v>BTB-050</x:v>
      </x:c>
      <x:c r="B299" s="62" t="n">
        <x:v>46372</x:v>
      </x:c>
      <x:c r="C299" s="64" t="str">
        <x:v>P3</x:v>
      </x:c>
      <x:c r="D299" s="64" t="n">
        <x:v>4</x:v>
      </x:c>
      <x:c r="E299" s="29" t="str">
        <x:v>Ask what they need now, and keep any necessary adult follow-up in the adult channel.</x:v>
      </x:c>
      <x:c r="F299" s="29" t="str">
        <x:v>Slide 4 of 6. Ask what they need now, and keep any necessary adult follow-up in the adult channel.</x:v>
      </x:c>
      <x:c r="G299" s="29" t="str">
        <x:v>script</x:v>
      </x:c>
      <x:c r="H299" s="29" t="str">
        <x:v>Draft — owner review</x:v>
      </x:c>
    </x:row>
    <x:row r="300" ht="84" customHeight="1">
      <x:c r="A300" s="29" t="str">
        <x:v>BTB-050</x:v>
      </x:c>
      <x:c r="B300" s="62" t="n">
        <x:v>46372</x:v>
      </x:c>
      <x:c r="C300" s="64" t="str">
        <x:v>P3</x:v>
      </x:c>
      <x:c r="D300" s="64" t="n">
        <x:v>5</x:v>
      </x:c>
      <x:c r="E300" s="29" t="str">
        <x:v>Avoid promises you cannot control. Seek qualified support if concerns persist or involve safety.</x:v>
      </x:c>
      <x:c r="F300" s="29" t="str">
        <x:v>Slide 5 of 6. Avoid promises you cannot control. Seek qualified support if concerns persist or involve safety.</x:v>
      </x:c>
      <x:c r="G300" s="29" t="str">
        <x:v>script</x:v>
      </x:c>
      <x:c r="H300" s="29" t="str">
        <x:v>Draft — owner review</x:v>
      </x:c>
    </x:row>
    <x:row r="301" ht="84" customHeight="1">
      <x:c r="A301" s="29" t="str">
        <x:v>BTB-050</x:v>
      </x:c>
      <x:c r="B301" s="62" t="n">
        <x:v>46372</x:v>
      </x:c>
      <x:c r="C301" s="64" t="str">
        <x:v>P3</x:v>
      </x:c>
      <x:c r="D301" s="64" t="n">
        <x:v>6</x:v>
      </x:c>
      <x:c r="E301" s="29" t="str">
        <x:v>Save a response that makes space for the feeling without turning it into a case against someone.</x:v>
      </x:c>
      <x:c r="F301" s="29" t="str">
        <x:v>Slide 6 of 6. Save a response that makes space for the feeling without turning it into a case against someone.</x:v>
      </x:c>
      <x:c r="G301" s="29" t="str">
        <x:v>script</x:v>
      </x:c>
      <x:c r="H301" s="29" t="str">
        <x:v>Draft — owner review</x:v>
      </x:c>
    </x:row>
    <x:row r="302" ht="84" customHeight="1">
      <x:c r="A302" s="29" t="str">
        <x:v>BTB-051</x:v>
      </x:c>
      <x:c r="B302" s="62" t="n">
        <x:v>46373</x:v>
      </x:c>
      <x:c r="C302" s="64" t="str">
        <x:v>P4</x:v>
      </x:c>
      <x:c r="D302" s="64" t="n">
        <x:v>1</x:v>
      </x:c>
      <x:c r="E302" s="29" t="str">
        <x:v>Consistency is easier to understand than a promise of forever.</x:v>
      </x:c>
      <x:c r="F302" s="29" t="str">
        <x:v>Slide 1 of 6. Consistency is easier to understand than a promise of forever.</x:v>
      </x:c>
      <x:c r="G302" s="29" t="str">
        <x:v>editorial</x:v>
      </x:c>
      <x:c r="H302" s="29" t="str">
        <x:v>Draft — owner review</x:v>
      </x:c>
    </x:row>
    <x:row r="303" ht="84" customHeight="1">
      <x:c r="A303" s="29" t="str">
        <x:v>BTB-051</x:v>
      </x:c>
      <x:c r="B303" s="62" t="n">
        <x:v>46373</x:v>
      </x:c>
      <x:c r="C303" s="64" t="str">
        <x:v>P4</x:v>
      </x:c>
      <x:c r="D303" s="64" t="n">
        <x:v>2</x:v>
      </x:c>
      <x:c r="E303" s="29" t="str">
        <x:v>A large declaration can feel reassuring. Everyday behaviour gives you different information.</x:v>
      </x:c>
      <x:c r="F303" s="29" t="str">
        <x:v>Slide 2 of 6. A large declaration can feel reassuring. Everyday behaviour gives you different information.</x:v>
      </x:c>
      <x:c r="G303" s="29" t="str">
        <x:v>editorial</x:v>
      </x:c>
      <x:c r="H303" s="29" t="str">
        <x:v>Draft — owner review</x:v>
      </x:c>
    </x:row>
    <x:row r="304" ht="84" customHeight="1">
      <x:c r="A304" s="29" t="str">
        <x:v>BTB-051</x:v>
      </x:c>
      <x:c r="B304" s="62" t="n">
        <x:v>46373</x:v>
      </x:c>
      <x:c r="C304" s="64" t="str">
        <x:v>P4</x:v>
      </x:c>
      <x:c r="D304" s="64" t="n">
        <x:v>3</x:v>
      </x:c>
      <x:c r="E304" s="29" t="str">
        <x:v>Notice whether plans are discussed clearly, limits are respected, and mistakes can be acknowledged.</x:v>
      </x:c>
      <x:c r="F304" s="29" t="str">
        <x:v>Slide 3 of 6. Notice whether plans are discussed clearly, limits are respected, and mistakes can be acknowledged.</x:v>
      </x:c>
      <x:c r="G304" s="29" t="str">
        <x:v>editorial</x:v>
      </x:c>
      <x:c r="H304" s="29" t="str">
        <x:v>Draft — owner review</x:v>
      </x:c>
    </x:row>
    <x:row r="305" ht="84" customHeight="1">
      <x:c r="A305" s="29" t="str">
        <x:v>BTB-051</x:v>
      </x:c>
      <x:c r="B305" s="62" t="n">
        <x:v>46373</x:v>
      </x:c>
      <x:c r="C305" s="64" t="str">
        <x:v>P4</x:v>
      </x:c>
      <x:c r="D305" s="64" t="n">
        <x:v>4</x:v>
      </x:c>
      <x:c r="E305" s="29" t="str">
        <x:v>Also ask whether you are offering the reliability you are hoping to receive.</x:v>
      </x:c>
      <x:c r="F305" s="29" t="str">
        <x:v>Slide 4 of 6. Also ask whether you are offering the reliability you are hoping to receive.</x:v>
      </x:c>
      <x:c r="G305" s="29" t="str">
        <x:v>editorial</x:v>
      </x:c>
      <x:c r="H305" s="29" t="str">
        <x:v>Draft — owner review</x:v>
      </x:c>
    </x:row>
    <x:row r="306" ht="84" customHeight="1">
      <x:c r="A306" s="29" t="str">
        <x:v>BTB-051</x:v>
      </x:c>
      <x:c r="B306" s="62" t="n">
        <x:v>46373</x:v>
      </x:c>
      <x:c r="C306" s="64" t="str">
        <x:v>P4</x:v>
      </x:c>
      <x:c r="D306" s="64" t="n">
        <x:v>5</x:v>
      </x:c>
      <x:c r="E306" s="29" t="str">
        <x:v>No checklist can certify a person. Keep your observations specific and your decisions proportionate.</x:v>
      </x:c>
      <x:c r="F306" s="29" t="str">
        <x:v>Slide 5 of 6. No checklist can certify a person. Keep your observations specific and your decisions proportionate.</x:v>
      </x:c>
      <x:c r="G306" s="29" t="str">
        <x:v>editorial</x:v>
      </x:c>
      <x:c r="H306" s="29" t="str">
        <x:v>Draft — owner review</x:v>
      </x:c>
    </x:row>
    <x:row r="307" ht="84" customHeight="1">
      <x:c r="A307" s="29" t="str">
        <x:v>BTB-051</x:v>
      </x:c>
      <x:c r="B307" s="62" t="n">
        <x:v>46373</x:v>
      </x:c>
      <x:c r="C307" s="64" t="str">
        <x:v>P4</x:v>
      </x:c>
      <x:c r="D307" s="64" t="n">
        <x:v>6</x:v>
      </x:c>
      <x:c r="E307" s="29" t="str">
        <x:v>Send this to someone learning to value the ordinary parts of trust.</x:v>
      </x:c>
      <x:c r="F307" s="29" t="str">
        <x:v>Slide 6 of 6. Send this to someone learning to value the ordinary parts of trust.</x:v>
      </x:c>
      <x:c r="G307" s="29" t="str">
        <x:v>editorial</x:v>
      </x:c>
      <x:c r="H307" s="29" t="str">
        <x:v>Draft — owner review</x:v>
      </x:c>
    </x:row>
    <x:row r="308" ht="84" customHeight="1">
      <x:c r="A308" s="29" t="str">
        <x:v>BTB-052</x:v>
      </x:c>
      <x:c r="B308" s="62" t="n">
        <x:v>46374</x:v>
      </x:c>
      <x:c r="C308" s="64" t="str">
        <x:v>P5</x:v>
      </x:c>
      <x:c r="D308" s="64" t="n">
        <x:v>1</x:v>
      </x:c>
      <x:c r="E308" s="29" t="str">
        <x:v>A career setback needs a next action, not a new identity.</x:v>
      </x:c>
      <x:c r="F308" s="29" t="str">
        <x:v>Slide 1 of 6. A career setback needs a next action, not a new identity.</x:v>
      </x:c>
      <x:c r="G308" s="29" t="str">
        <x:v>checklist</x:v>
      </x:c>
      <x:c r="H308" s="29" t="str">
        <x:v>Draft — owner review</x:v>
      </x:c>
    </x:row>
    <x:row r="309" ht="84" customHeight="1">
      <x:c r="A309" s="29" t="str">
        <x:v>BTB-052</x:v>
      </x:c>
      <x:c r="B309" s="62" t="n">
        <x:v>46374</x:v>
      </x:c>
      <x:c r="C309" s="64" t="str">
        <x:v>P5</x:v>
      </x:c>
      <x:c r="D309" s="64" t="n">
        <x:v>2</x:v>
      </x:c>
      <x:c r="E309" s="29" t="str">
        <x:v>“I was rejected” describes an event. “I am unemployable” makes a much larger claim.</x:v>
      </x:c>
      <x:c r="F309" s="29" t="str">
        <x:v>Slide 2 of 6. “I was rejected” describes an event. “I am unemployable” makes a much larger claim.</x:v>
      </x:c>
      <x:c r="G309" s="29" t="str">
        <x:v>checklist</x:v>
      </x:c>
      <x:c r="H309" s="29" t="str">
        <x:v>Draft — owner review</x:v>
      </x:c>
    </x:row>
    <x:row r="310" ht="84" customHeight="1">
      <x:c r="A310" s="29" t="str">
        <x:v>BTB-052</x:v>
      </x:c>
      <x:c r="B310" s="62" t="n">
        <x:v>46374</x:v>
      </x:c>
      <x:c r="C310" s="64" t="str">
        <x:v>P5</x:v>
      </x:c>
      <x:c r="D310" s="64" t="n">
        <x:v>3</x:v>
      </x:c>
      <x:c r="E310" s="29" t="str">
        <x:v>Review what you actually know: the role, your application, any feedback, and whether your experience matched the requirements.</x:v>
      </x:c>
      <x:c r="F310" s="29" t="str">
        <x:v>Slide 3 of 6. Review what you actually know: the role, your application, any feedback, and whether your experience matched the requirements.</x:v>
      </x:c>
      <x:c r="G310" s="29" t="str">
        <x:v>checklist</x:v>
      </x:c>
      <x:c r="H310" s="29" t="str">
        <x:v>Draft — owner review</x:v>
      </x:c>
    </x:row>
    <x:row r="311" ht="84" customHeight="1">
      <x:c r="A311" s="29" t="str">
        <x:v>BTB-052</x:v>
      </x:c>
      <x:c r="B311" s="62" t="n">
        <x:v>46374</x:v>
      </x:c>
      <x:c r="C311" s="64" t="str">
        <x:v>P5</x:v>
      </x:c>
      <x:c r="D311" s="64" t="n">
        <x:v>4</x:v>
      </x:c>
      <x:c r="E311" s="29" t="str">
        <x:v>Choose one improvement or one different opportunity. Keep an achievable pace rather than applying until you are exhausted.</x:v>
      </x:c>
      <x:c r="F311" s="29" t="str">
        <x:v>Slide 4 of 6. Choose one improvement or one different opportunity. Keep an achievable pace rather than applying until you are exhausted.</x:v>
      </x:c>
      <x:c r="G311" s="29" t="str">
        <x:v>checklist</x:v>
      </x:c>
      <x:c r="H311" s="29" t="str">
        <x:v>Draft — owner review</x:v>
      </x:c>
    </x:row>
    <x:row r="312" ht="84" customHeight="1">
      <x:c r="A312" s="29" t="str">
        <x:v>BTB-052</x:v>
      </x:c>
      <x:c r="B312" s="62" t="n">
        <x:v>46374</x:v>
      </x:c>
      <x:c r="C312" s="64" t="str">
        <x:v>P5</x:v>
      </x:c>
      <x:c r="D312" s="64" t="n">
        <x:v>5</x:v>
      </x:c>
      <x:c r="E312" s="29" t="str">
        <x:v>Track the action you can control. Do not turn another person's hiring decision into your entire self-assessment.</x:v>
      </x:c>
      <x:c r="F312" s="29" t="str">
        <x:v>Slide 5 of 6. Track the action you can control. Do not turn another person's hiring decision into your entire self-assessment.</x:v>
      </x:c>
      <x:c r="G312" s="29" t="str">
        <x:v>checklist</x:v>
      </x:c>
      <x:c r="H312" s="29" t="str">
        <x:v>Draft — owner review</x:v>
      </x:c>
    </x:row>
    <x:row r="313" ht="84" customHeight="1">
      <x:c r="A313" s="29" t="str">
        <x:v>BTB-052</x:v>
      </x:c>
      <x:c r="B313" s="62" t="n">
        <x:v>46374</x:v>
      </x:c>
      <x:c r="C313" s="64" t="str">
        <x:v>P5</x:v>
      </x:c>
      <x:c r="D313" s="64" t="n">
        <x:v>6</x:v>
      </x:c>
      <x:c r="E313" s="29" t="str">
        <x:v>Save this for the email that makes you question more than the application.</x:v>
      </x:c>
      <x:c r="F313" s="29" t="str">
        <x:v>Slide 6 of 6. Save this for the email that makes you question more than the application.</x:v>
      </x:c>
      <x:c r="G313" s="29" t="str">
        <x:v>checklist</x:v>
      </x:c>
      <x:c r="H313" s="29" t="str">
        <x:v>Draft — owner review</x:v>
      </x:c>
    </x:row>
    <x:row r="314" ht="84" customHeight="1">
      <x:c r="A314" s="29" t="str">
        <x:v>BTB-053</x:v>
      </x:c>
      <x:c r="B314" s="62" t="n">
        <x:v>46375</x:v>
      </x:c>
      <x:c r="C314" s="64" t="str">
        <x:v>P1</x:v>
      </x:c>
      <x:c r="D314" s="64" t="n">
        <x:v>1</x:v>
      </x:c>
      <x:c r="E314" s="29" t="str">
        <x:v>A family gathering is not an obligation to defend your history.</x:v>
      </x:c>
      <x:c r="F314" s="29" t="str">
        <x:v>Slide 1 of 6. A family gathering is not an obligation to defend your history.</x:v>
      </x:c>
      <x:c r="G314" s="29" t="str">
        <x:v>script</x:v>
      </x:c>
      <x:c r="H314" s="29" t="str">
        <x:v>Draft — owner review</x:v>
      </x:c>
    </x:row>
    <x:row r="315" ht="84" customHeight="1">
      <x:c r="A315" s="29" t="str">
        <x:v>BTB-053</x:v>
      </x:c>
      <x:c r="B315" s="62" t="n">
        <x:v>46375</x:v>
      </x:c>
      <x:c r="C315" s="64" t="str">
        <x:v>P1</x:v>
      </x:c>
      <x:c r="D315" s="64" t="n">
        <x:v>2</x:v>
      </x:c>
      <x:c r="E315" s="29" t="str">
        <x:v>You can prepare for questions without preparing a courtroom speech.</x:v>
      </x:c>
      <x:c r="F315" s="29" t="str">
        <x:v>Slide 2 of 6. You can prepare for questions without preparing a courtroom speech.</x:v>
      </x:c>
      <x:c r="G315" s="29" t="str">
        <x:v>script</x:v>
      </x:c>
      <x:c r="H315" s="29" t="str">
        <x:v>Draft — owner review</x:v>
      </x:c>
    </x:row>
    <x:row r="316" ht="84" customHeight="1">
      <x:c r="A316" s="29" t="str">
        <x:v>BTB-053</x:v>
      </x:c>
      <x:c r="B316" s="62" t="n">
        <x:v>46375</x:v>
      </x:c>
      <x:c r="C316" s="64" t="str">
        <x:v>P1</x:v>
      </x:c>
      <x:c r="D316" s="64" t="n">
        <x:v>3</x:v>
      </x:c>
      <x:c r="E316" s="29" t="str">
        <x:v>Try: “I know you care. I'm not discussing the private details today.”</x:v>
      </x:c>
      <x:c r="F316" s="29" t="str">
        <x:v>Slide 3 of 6. Try: “I know you care. I'm not discussing the private details today.”</x:v>
      </x:c>
      <x:c r="G316" s="29" t="str">
        <x:v>script</x:v>
      </x:c>
      <x:c r="H316" s="29" t="str">
        <x:v>Draft — owner review</x:v>
      </x:c>
    </x:row>
    <x:row r="317" ht="84" customHeight="1">
      <x:c r="A317" s="29" t="str">
        <x:v>BTB-053</x:v>
      </x:c>
      <x:c r="B317" s="62" t="n">
        <x:v>46375</x:v>
      </x:c>
      <x:c r="C317" s="64" t="str">
        <x:v>P1</x:v>
      </x:c>
      <x:c r="D317" s="64" t="n">
        <x:v>4</x:v>
      </x:c>
      <x:c r="E317" s="29" t="str">
        <x:v>Then choose a subject you are comfortable with, or step away from the conversation when appropriate.</x:v>
      </x:c>
      <x:c r="F317" s="29" t="str">
        <x:v>Slide 4 of 6. Then choose a subject you are comfortable with, or step away from the conversation when appropriate.</x:v>
      </x:c>
      <x:c r="G317" s="29" t="str">
        <x:v>script</x:v>
      </x:c>
      <x:c r="H317" s="29" t="str">
        <x:v>Draft — owner review</x:v>
      </x:c>
    </x:row>
    <x:row r="318" ht="84" customHeight="1">
      <x:c r="A318" s="29" t="str">
        <x:v>BTB-053</x:v>
      </x:c>
      <x:c r="B318" s="62" t="n">
        <x:v>46375</x:v>
      </x:c>
      <x:c r="C318" s="64" t="str">
        <x:v>P1</x:v>
      </x:c>
      <x:c r="D318" s="64" t="n">
        <x:v>5</x:v>
      </x:c>
      <x:c r="E318" s="29" t="str">
        <x:v>Make a separate plan to speak with someone you trust if the gathering brings up difficult feelings.</x:v>
      </x:c>
      <x:c r="F318" s="29" t="str">
        <x:v>Slide 5 of 6. Make a separate plan to speak with someone you trust if the gathering brings up difficult feelings.</x:v>
      </x:c>
      <x:c r="G318" s="29" t="str">
        <x:v>script</x:v>
      </x:c>
      <x:c r="H318" s="29" t="str">
        <x:v>Draft — owner review</x:v>
      </x:c>
    </x:row>
    <x:row r="319" ht="84" customHeight="1">
      <x:c r="A319" s="29" t="str">
        <x:v>BTB-053</x:v>
      </x:c>
      <x:c r="B319" s="62" t="n">
        <x:v>46375</x:v>
      </x:c>
      <x:c r="C319" s="64" t="str">
        <x:v>P1</x:v>
      </x:c>
      <x:c r="D319" s="64" t="n">
        <x:v>6</x:v>
      </x:c>
      <x:c r="E319" s="29" t="str">
        <x:v>Save a boundary before you need to improvise one in a crowded room.</x:v>
      </x:c>
      <x:c r="F319" s="29" t="str">
        <x:v>Slide 6 of 6. Save a boundary before you need to improvise one in a crowded room.</x:v>
      </x:c>
      <x:c r="G319" s="29" t="str">
        <x:v>script</x:v>
      </x:c>
      <x:c r="H319" s="29" t="str">
        <x:v>Draft — owner review</x:v>
      </x:c>
    </x:row>
    <x:row r="320" ht="84" customHeight="1">
      <x:c r="A320" s="29" t="str">
        <x:v>BTB-054</x:v>
      </x:c>
      <x:c r="B320" s="62" t="n">
        <x:v>46376</x:v>
      </x:c>
      <x:c r="C320" s="64" t="str">
        <x:v>P2</x:v>
      </x:c>
      <x:c r="D320" s="64" t="n">
        <x:v>1</x:v>
      </x:c>
      <x:c r="E320" s="29" t="str">
        <x:v>You can laugh without proving that the difficult season is over.</x:v>
      </x:c>
      <x:c r="F320" s="29" t="str">
        <x:v>Slide 1 of 6. You can laugh without proving that the difficult season is over.</x:v>
      </x:c>
      <x:c r="G320" s="29" t="str">
        <x:v>contrast</x:v>
      </x:c>
      <x:c r="H320" s="29" t="str">
        <x:v>Draft — owner review</x:v>
      </x:c>
    </x:row>
    <x:row r="321" ht="84" customHeight="1">
      <x:c r="A321" s="29" t="str">
        <x:v>BTB-054</x:v>
      </x:c>
      <x:c r="B321" s="62" t="n">
        <x:v>46376</x:v>
      </x:c>
      <x:c r="C321" s="64" t="str">
        <x:v>P2</x:v>
      </x:c>
      <x:c r="D321" s="64" t="n">
        <x:v>2</x:v>
      </x:c>
      <x:c r="E321" s="29" t="str">
        <x:v>A good moment does not invalidate the hard ones. Nor does a hard evening erase a good afternoon.</x:v>
      </x:c>
      <x:c r="F321" s="29" t="str">
        <x:v>Slide 2 of 6. A good moment does not invalidate the hard ones. Nor does a hard evening erase a good afternoon.</x:v>
      </x:c>
      <x:c r="G321" s="29" t="str">
        <x:v>contrast</x:v>
      </x:c>
      <x:c r="H321" s="29" t="str">
        <x:v>Draft — owner review</x:v>
      </x:c>
    </x:row>
    <x:row r="322" ht="84" customHeight="1">
      <x:c r="A322" s="29" t="str">
        <x:v>BTB-054</x:v>
      </x:c>
      <x:c r="B322" s="62" t="n">
        <x:v>46376</x:v>
      </x:c>
      <x:c r="C322" s="64" t="str">
        <x:v>P2</x:v>
      </x:c>
      <x:c r="D322" s="64" t="n">
        <x:v>3</x:v>
      </x:c>
      <x:c r="E322" s="29" t="str">
        <x:v>You do not have to monitor every emotion for consistency with your story.</x:v>
      </x:c>
      <x:c r="F322" s="29" t="str">
        <x:v>Slide 3 of 6. You do not have to monitor every emotion for consistency with your story.</x:v>
      </x:c>
      <x:c r="G322" s="29" t="str">
        <x:v>contrast</x:v>
      </x:c>
      <x:c r="H322" s="29" t="str">
        <x:v>Draft — owner review</x:v>
      </x:c>
    </x:row>
    <x:row r="323" ht="84" customHeight="1">
      <x:c r="A323" s="29" t="str">
        <x:v>BTB-054</x:v>
      </x:c>
      <x:c r="B323" s="62" t="n">
        <x:v>46376</x:v>
      </x:c>
      <x:c r="C323" s="64" t="str">
        <x:v>P2</x:v>
      </x:c>
      <x:c r="D323" s="64" t="n">
        <x:v>4</x:v>
      </x:c>
      <x:c r="E323" s="29" t="str">
        <x:v>Let an enjoyable moment be enjoyable. Afterwards, notice what made room for it.</x:v>
      </x:c>
      <x:c r="F323" s="29" t="str">
        <x:v>Slide 4 of 6. Let an enjoyable moment be enjoyable. Afterwards, notice what made room for it.</x:v>
      </x:c>
      <x:c r="G323" s="29" t="str">
        <x:v>contrast</x:v>
      </x:c>
      <x:c r="H323" s="29" t="str">
        <x:v>Draft — owner review</x:v>
      </x:c>
    </x:row>
    <x:row r="324" ht="84" customHeight="1">
      <x:c r="A324" s="29" t="str">
        <x:v>BTB-054</x:v>
      </x:c>
      <x:c r="B324" s="62" t="n">
        <x:v>46376</x:v>
      </x:c>
      <x:c r="C324" s="64" t="str">
        <x:v>P2</x:v>
      </x:c>
      <x:c r="D324" s="64" t="n">
        <x:v>5</x:v>
      </x:c>
      <x:c r="E324" s="29" t="str">
        <x:v>There may be something worth repeating: a person, an activity, or simply time away from a difficult topic.</x:v>
      </x:c>
      <x:c r="F324" s="29" t="str">
        <x:v>Slide 5 of 6. There may be something worth repeating: a person, an activity, or simply time away from a difficult topic.</x:v>
      </x:c>
      <x:c r="G324" s="29" t="str">
        <x:v>contrast</x:v>
      </x:c>
      <x:c r="H324" s="29" t="str">
        <x:v>Draft — owner review</x:v>
      </x:c>
    </x:row>
    <x:row r="325" ht="84" customHeight="1">
      <x:c r="A325" s="29" t="str">
        <x:v>BTB-054</x:v>
      </x:c>
      <x:c r="B325" s="62" t="n">
        <x:v>46376</x:v>
      </x:c>
      <x:c r="C325" s="64" t="str">
        <x:v>P2</x:v>
      </x:c>
      <x:c r="D325" s="64" t="n">
        <x:v>6</x:v>
      </x:c>
      <x:c r="E325" s="29" t="str">
        <x:v>Send this to someone who feels guilty whenever life briefly feels lighter.</x:v>
      </x:c>
      <x:c r="F325" s="29" t="str">
        <x:v>Slide 6 of 6. Send this to someone who feels guilty whenever life briefly feels lighter.</x:v>
      </x:c>
      <x:c r="G325" s="29" t="str">
        <x:v>contrast</x:v>
      </x:c>
      <x:c r="H325" s="29" t="str">
        <x:v>Draft — owner review</x:v>
      </x:c>
    </x:row>
    <x:row r="326" ht="84" customHeight="1">
      <x:c r="A326" s="29" t="str">
        <x:v>BTB-055</x:v>
      </x:c>
      <x:c r="B326" s="62" t="n">
        <x:v>46377</x:v>
      </x:c>
      <x:c r="C326" s="64" t="str">
        <x:v>P3</x:v>
      </x:c>
      <x:c r="D326" s="64" t="n">
        <x:v>1</x:v>
      </x:c>
      <x:c r="E326" s="29" t="str">
        <x:v>A child's question does not require the adult version of the answer.</x:v>
      </x:c>
      <x:c r="F326" s="29" t="str">
        <x:v>Slide 1 of 6. A child's question does not require the adult version of the answer.</x:v>
      </x:c>
      <x:c r="G326" s="29" t="str">
        <x:v>checklist</x:v>
      </x:c>
      <x:c r="H326" s="29" t="str">
        <x:v>Draft — owner review</x:v>
      </x:c>
    </x:row>
    <x:row r="327" ht="84" customHeight="1">
      <x:c r="A327" s="29" t="str">
        <x:v>BTB-055</x:v>
      </x:c>
      <x:c r="B327" s="62" t="n">
        <x:v>46377</x:v>
      </x:c>
      <x:c r="C327" s="64" t="str">
        <x:v>P3</x:v>
      </x:c>
      <x:c r="D327" s="64" t="n">
        <x:v>2</x:v>
      </x:c>
      <x:c r="E327" s="29" t="str">
        <x:v>Before responding, ask what they are actually trying to understand.</x:v>
      </x:c>
      <x:c r="F327" s="29" t="str">
        <x:v>Slide 2 of 6. Before responding, ask what they are actually trying to understand.</x:v>
      </x:c>
      <x:c r="G327" s="29" t="str">
        <x:v>checklist</x:v>
      </x:c>
      <x:c r="H327" s="29" t="str">
        <x:v>Draft — owner review</x:v>
      </x:c>
    </x:row>
    <x:row r="328" ht="84" customHeight="1">
      <x:c r="A328" s="29" t="str">
        <x:v>BTB-055</x:v>
      </x:c>
      <x:c r="B328" s="62" t="n">
        <x:v>46377</x:v>
      </x:c>
      <x:c r="C328" s="64" t="str">
        <x:v>P3</x:v>
      </x:c>
      <x:c r="D328" s="64" t="n">
        <x:v>3</x:v>
      </x:c>
      <x:c r="E328" s="29" t="str">
        <x:v>Use simple, age-appropriate language. Avoid private accusations, legal details, or explanations that make them responsible for your feelings.</x:v>
      </x:c>
      <x:c r="F328" s="29" t="str">
        <x:v>Slide 3 of 6. Use simple, age-appropriate language. Avoid private accusations, legal details, or explanations that make them responsible for your feelings.</x:v>
      </x:c>
      <x:c r="G328" s="29" t="str">
        <x:v>checklist</x:v>
      </x:c>
      <x:c r="H328" s="29" t="str">
        <x:v>Draft — owner review</x:v>
      </x:c>
    </x:row>
    <x:row r="329" ht="84" customHeight="1">
      <x:c r="A329" s="29" t="str">
        <x:v>BTB-055</x:v>
      </x:c>
      <x:c r="B329" s="62" t="n">
        <x:v>46377</x:v>
      </x:c>
      <x:c r="C329" s="64" t="str">
        <x:v>P3</x:v>
      </x:c>
      <x:c r="D329" s="64" t="n">
        <x:v>4</x:v>
      </x:c>
      <x:c r="E329" s="29" t="str">
        <x:v>It is acceptable to say, “I don't know yet. The adults are working on that.”</x:v>
      </x:c>
      <x:c r="F329" s="29" t="str">
        <x:v>Slide 4 of 6. It is acceptable to say, “I don't know yet. The adults are working on that.”</x:v>
      </x:c>
      <x:c r="G329" s="29" t="str">
        <x:v>checklist</x:v>
      </x:c>
      <x:c r="H329" s="29" t="str">
        <x:v>Draft — owner review</x:v>
      </x:c>
    </x:row>
    <x:row r="330" ht="84" customHeight="1">
      <x:c r="A330" s="29" t="str">
        <x:v>BTB-055</x:v>
      </x:c>
      <x:c r="B330" s="62" t="n">
        <x:v>46377</x:v>
      </x:c>
      <x:c r="C330" s="64" t="str">
        <x:v>P3</x:v>
      </x:c>
      <x:c r="D330" s="64" t="n">
        <x:v>5</x:v>
      </x:c>
      <x:c r="E330" s="29" t="str">
        <x:v>Keep reassurance truthful. Ask a qualified professional for guidance when a question is difficult or safety-sensitive.</x:v>
      </x:c>
      <x:c r="F330" s="29" t="str">
        <x:v>Slide 5 of 6. Keep reassurance truthful. Ask a qualified professional for guidance when a question is difficult or safety-sensitive.</x:v>
      </x:c>
      <x:c r="G330" s="29" t="str">
        <x:v>checklist</x:v>
      </x:c>
      <x:c r="H330" s="29" t="str">
        <x:v>Draft — owner review</x:v>
      </x:c>
    </x:row>
    <x:row r="331" ht="84" customHeight="1">
      <x:c r="A331" s="29" t="str">
        <x:v>BTB-055</x:v>
      </x:c>
      <x:c r="B331" s="62" t="n">
        <x:v>46377</x:v>
      </x:c>
      <x:c r="C331" s="64" t="str">
        <x:v>P3</x:v>
      </x:c>
      <x:c r="D331" s="64" t="n">
        <x:v>6</x:v>
      </x:c>
      <x:c r="E331" s="29" t="str">
        <x:v>Save this pause: answer the child's need, not your urge to explain the whole story.</x:v>
      </x:c>
      <x:c r="F331" s="29" t="str">
        <x:v>Slide 6 of 6. Save this pause: answer the child's need, not your urge to explain the whole story.</x:v>
      </x:c>
      <x:c r="G331" s="29" t="str">
        <x:v>checklist</x:v>
      </x:c>
      <x:c r="H331" s="29" t="str">
        <x:v>Draft — owner review</x:v>
      </x:c>
    </x:row>
    <x:row r="332" ht="84" customHeight="1">
      <x:c r="A332" s="29" t="str">
        <x:v>BTB-056</x:v>
      </x:c>
      <x:c r="B332" s="62" t="n">
        <x:v>46378</x:v>
      </x:c>
      <x:c r="C332" s="64" t="str">
        <x:v>P4</x:v>
      </x:c>
      <x:c r="D332" s="64" t="n">
        <x:v>1</x:v>
      </x:c>
      <x:c r="E332" s="29" t="str">
        <x:v>Being needed is not the only way to be close to someone.</x:v>
      </x:c>
      <x:c r="F332" s="29" t="str">
        <x:v>Slide 1 of 6. Being needed is not the only way to be close to someone.</x:v>
      </x:c>
      <x:c r="G332" s="29" t="str">
        <x:v>contrast</x:v>
      </x:c>
      <x:c r="H332" s="29" t="str">
        <x:v>Draft — owner review</x:v>
      </x:c>
    </x:row>
    <x:row r="333" ht="84" customHeight="1">
      <x:c r="A333" s="29" t="str">
        <x:v>BTB-056</x:v>
      </x:c>
      <x:c r="B333" s="62" t="n">
        <x:v>46378</x:v>
      </x:c>
      <x:c r="C333" s="64" t="str">
        <x:v>P4</x:v>
      </x:c>
      <x:c r="D333" s="64" t="n">
        <x:v>2</x:v>
      </x:c>
      <x:c r="E333" s="29" t="str">
        <x:v>Constantly fixing, paying, organising, or rescuing can leave little room to ask what you need.</x:v>
      </x:c>
      <x:c r="F333" s="29" t="str">
        <x:v>Slide 2 of 6. Constantly fixing, paying, organising, or rescuing can leave little room to ask what you need.</x:v>
      </x:c>
      <x:c r="G333" s="29" t="str">
        <x:v>contrast</x:v>
      </x:c>
      <x:c r="H333" s="29" t="str">
        <x:v>Draft — owner review</x:v>
      </x:c>
    </x:row>
    <x:row r="334" ht="84" customHeight="1">
      <x:c r="A334" s="29" t="str">
        <x:v>BTB-056</x:v>
      </x:c>
      <x:c r="B334" s="62" t="n">
        <x:v>46378</x:v>
      </x:c>
      <x:c r="C334" s="64" t="str">
        <x:v>P4</x:v>
      </x:c>
      <x:c r="D334" s="64" t="n">
        <x:v>3</x:v>
      </x:c>
      <x:c r="E334" s="29" t="str">
        <x:v>Notice what remains between you when there is no problem for you to solve.</x:v>
      </x:c>
      <x:c r="F334" s="29" t="str">
        <x:v>Slide 3 of 6. Notice what remains between you when there is no problem for you to solve.</x:v>
      </x:c>
      <x:c r="G334" s="29" t="str">
        <x:v>contrast</x:v>
      </x:c>
      <x:c r="H334" s="29" t="str">
        <x:v>Draft — owner review</x:v>
      </x:c>
    </x:row>
    <x:row r="335" ht="84" customHeight="1">
      <x:c r="A335" s="29" t="str">
        <x:v>BTB-056</x:v>
      </x:c>
      <x:c r="B335" s="62" t="n">
        <x:v>46378</x:v>
      </x:c>
      <x:c r="C335" s="64" t="str">
        <x:v>P4</x:v>
      </x:c>
      <x:c r="D335" s="64" t="n">
        <x:v>4</x:v>
      </x:c>
      <x:c r="E335" s="29" t="str">
        <x:v>Try asking for something small and reasonable, rather than only offering more.</x:v>
      </x:c>
      <x:c r="F335" s="29" t="str">
        <x:v>Slide 4 of 6. Try asking for something small and reasonable, rather than only offering more.</x:v>
      </x:c>
      <x:c r="G335" s="29" t="str">
        <x:v>contrast</x:v>
      </x:c>
      <x:c r="H335" s="29" t="str">
        <x:v>Draft — owner review</x:v>
      </x:c>
    </x:row>
    <x:row r="336" ht="84" customHeight="1">
      <x:c r="A336" s="29" t="str">
        <x:v>BTB-056</x:v>
      </x:c>
      <x:c r="B336" s="62" t="n">
        <x:v>46378</x:v>
      </x:c>
      <x:c r="C336" s="64" t="str">
        <x:v>P4</x:v>
      </x:c>
      <x:c r="D336" s="64" t="n">
        <x:v>5</x:v>
      </x:c>
      <x:c r="E336" s="29" t="str">
        <x:v>Consider the response over time. Do not turn one interaction into a diagnosis or a test designed for someone to fail.</x:v>
      </x:c>
      <x:c r="F336" s="29" t="str">
        <x:v>Slide 5 of 6. Consider the response over time. Do not turn one interaction into a diagnosis or a test designed for someone to fail.</x:v>
      </x:c>
      <x:c r="G336" s="29" t="str">
        <x:v>contrast</x:v>
      </x:c>
      <x:c r="H336" s="29" t="str">
        <x:v>Draft — owner review</x:v>
      </x:c>
    </x:row>
    <x:row r="337" ht="84" customHeight="1">
      <x:c r="A337" s="29" t="str">
        <x:v>BTB-056</x:v>
      </x:c>
      <x:c r="B337" s="62" t="n">
        <x:v>46378</x:v>
      </x:c>
      <x:c r="C337" s="64" t="str">
        <x:v>P4</x:v>
      </x:c>
      <x:c r="D337" s="64" t="n">
        <x:v>6</x:v>
      </x:c>
      <x:c r="E337" s="29" t="str">
        <x:v>Save this question: is there room for me here when I am not being useful?</x:v>
      </x:c>
      <x:c r="F337" s="29" t="str">
        <x:v>Slide 6 of 6. Save this question: is there room for me here when I am not being useful?</x:v>
      </x:c>
      <x:c r="G337" s="29" t="str">
        <x:v>contrast</x:v>
      </x:c>
      <x:c r="H337" s="29" t="str">
        <x:v>Draft — owner review</x:v>
      </x:c>
    </x:row>
    <x:row r="338" ht="84" customHeight="1">
      <x:c r="A338" s="29" t="str">
        <x:v>BTB-057</x:v>
      </x:c>
      <x:c r="B338" s="62" t="n">
        <x:v>46379</x:v>
      </x:c>
      <x:c r="C338" s="64" t="str">
        <x:v>P5</x:v>
      </x:c>
      <x:c r="D338" s="64" t="n">
        <x:v>1</x:v>
      </x:c>
      <x:c r="E338" s="29" t="str">
        <x:v>Put your future plans in a queue, not all on today's calendar.</x:v>
      </x:c>
      <x:c r="F338" s="29" t="str">
        <x:v>Slide 1 of 6. Put your future plans in a queue, not all on today's calendar.</x:v>
      </x:c>
      <x:c r="G338" s="29" t="str">
        <x:v>checklist</x:v>
      </x:c>
      <x:c r="H338" s="29" t="str">
        <x:v>Draft — owner review</x:v>
      </x:c>
    </x:row>
    <x:row r="339" ht="84" customHeight="1">
      <x:c r="A339" s="29" t="str">
        <x:v>BTB-057</x:v>
      </x:c>
      <x:c r="B339" s="62" t="n">
        <x:v>46379</x:v>
      </x:c>
      <x:c r="C339" s="64" t="str">
        <x:v>P5</x:v>
      </x:c>
      <x:c r="D339" s="64" t="n">
        <x:v>2</x:v>
      </x:c>
      <x:c r="E339" s="29" t="str">
        <x:v>A difficult season can make every new idea feel like a possible way out.</x:v>
      </x:c>
      <x:c r="F339" s="29" t="str">
        <x:v>Slide 2 of 6. A difficult season can make every new idea feel like a possible way out.</x:v>
      </x:c>
      <x:c r="G339" s="29" t="str">
        <x:v>checklist</x:v>
      </x:c>
      <x:c r="H339" s="29" t="str">
        <x:v>Draft — owner review</x:v>
      </x:c>
    </x:row>
    <x:row r="340" ht="84" customHeight="1">
      <x:c r="A340" s="29" t="str">
        <x:v>BTB-057</x:v>
      </x:c>
      <x:c r="B340" s="62" t="n">
        <x:v>46379</x:v>
      </x:c>
      <x:c r="C340" s="64" t="str">
        <x:v>P5</x:v>
      </x:c>
      <x:c r="D340" s="64" t="n">
        <x:v>3</x:v>
      </x:c>
      <x:c r="E340" s="29" t="str">
        <x:v>Write the ideas down. Choose one to explore within the time and money you can reasonably afford.</x:v>
      </x:c>
      <x:c r="F340" s="29" t="str">
        <x:v>Slide 3 of 6. Write the ideas down. Choose one to explore within the time and money you can reasonably afford.</x:v>
      </x:c>
      <x:c r="G340" s="29" t="str">
        <x:v>checklist</x:v>
      </x:c>
      <x:c r="H340" s="29" t="str">
        <x:v>Draft — owner review</x:v>
      </x:c>
    </x:row>
    <x:row r="341" ht="84" customHeight="1">
      <x:c r="A341" s="29" t="str">
        <x:v>BTB-057</x:v>
      </x:c>
      <x:c r="B341" s="62" t="n">
        <x:v>46379</x:v>
      </x:c>
      <x:c r="C341" s="64" t="str">
        <x:v>P5</x:v>
      </x:c>
      <x:c r="D341" s="64" t="n">
        <x:v>4</x:v>
      </x:c>
      <x:c r="E341" s="29" t="str">
        <x:v>Define the next test and what information would make you continue, change direction, or stop.</x:v>
      </x:c>
      <x:c r="F341" s="29" t="str">
        <x:v>Slide 4 of 6. Define the next test and what information would make you continue, change direction, or stop.</x:v>
      </x:c>
      <x:c r="G341" s="29" t="str">
        <x:v>checklist</x:v>
      </x:c>
      <x:c r="H341" s="29" t="str">
        <x:v>Draft — owner review</x:v>
      </x:c>
    </x:row>
    <x:row r="342" ht="84" customHeight="1">
      <x:c r="A342" s="29" t="str">
        <x:v>BTB-057</x:v>
      </x:c>
      <x:c r="B342" s="62" t="n">
        <x:v>46379</x:v>
      </x:c>
      <x:c r="C342" s="64" t="str">
        <x:v>P5</x:v>
      </x:c>
      <x:c r="D342" s="64" t="n">
        <x:v>5</x:v>
      </x:c>
      <x:c r="E342" s="29" t="str">
        <x:v>Keep the other ideas available without turning them into active obligations.</x:v>
      </x:c>
      <x:c r="F342" s="29" t="str">
        <x:v>Slide 5 of 6. Keep the other ideas available without turning them into active obligations.</x:v>
      </x:c>
      <x:c r="G342" s="29" t="str">
        <x:v>checklist</x:v>
      </x:c>
      <x:c r="H342" s="29" t="str">
        <x:v>Draft — owner review</x:v>
      </x:c>
    </x:row>
    <x:row r="343" ht="84" customHeight="1">
      <x:c r="A343" s="29" t="str">
        <x:v>BTB-057</x:v>
      </x:c>
      <x:c r="B343" s="62" t="n">
        <x:v>46379</x:v>
      </x:c>
      <x:c r="C343" s="64" t="str">
        <x:v>P5</x:v>
      </x:c>
      <x:c r="D343" s="64" t="n">
        <x:v>6</x:v>
      </x:c>
      <x:c r="E343" s="29" t="str">
        <x:v>Save this when another new beginning is about to become another unfinished project.</x:v>
      </x:c>
      <x:c r="F343" s="29" t="str">
        <x:v>Slide 6 of 6. Save this when another new beginning is about to become another unfinished project.</x:v>
      </x:c>
      <x:c r="G343" s="29" t="str">
        <x:v>checklist</x:v>
      </x:c>
      <x:c r="H343" s="29" t="str">
        <x:v>Draft — owner review</x:v>
      </x:c>
    </x:row>
    <x:row r="344" ht="84" customHeight="1">
      <x:c r="A344" s="29" t="str">
        <x:v>BTB-058</x:v>
      </x:c>
      <x:c r="B344" s="62" t="n">
        <x:v>46380</x:v>
      </x:c>
      <x:c r="C344" s="64" t="str">
        <x:v>P1</x:v>
      </x:c>
      <x:c r="D344" s="64" t="n">
        <x:v>1</x:v>
      </x:c>
      <x:c r="E344" s="29" t="str">
        <x:v>You are not starting from nothing, even when much has changed.</x:v>
      </x:c>
      <x:c r="F344" s="29" t="str">
        <x:v>Slide 1 of 6. You are not starting from nothing, even when much has changed.</x:v>
      </x:c>
      <x:c r="G344" s="29" t="str">
        <x:v>editorial</x:v>
      </x:c>
      <x:c r="H344" s="29" t="str">
        <x:v>Draft — owner review</x:v>
      </x:c>
    </x:row>
    <x:row r="345" ht="84" customHeight="1">
      <x:c r="A345" s="29" t="str">
        <x:v>BTB-058</x:v>
      </x:c>
      <x:c r="B345" s="62" t="n">
        <x:v>46380</x:v>
      </x:c>
      <x:c r="C345" s="64" t="str">
        <x:v>P1</x:v>
      </x:c>
      <x:c r="D345" s="64" t="n">
        <x:v>2</x:v>
      </x:c>
      <x:c r="E345" s="29" t="str">
        <x:v>You still have knowledge, preferences, relationships, and experience that did not vanish with the old plan.</x:v>
      </x:c>
      <x:c r="F345" s="29" t="str">
        <x:v>Slide 2 of 6. You still have knowledge, preferences, relationships, and experience that did not vanish with the old plan.</x:v>
      </x:c>
      <x:c r="G345" s="29" t="str">
        <x:v>editorial</x:v>
      </x:c>
      <x:c r="H345" s="29" t="str">
        <x:v>Draft — owner review</x:v>
      </x:c>
    </x:row>
    <x:row r="346" ht="84" customHeight="1">
      <x:c r="A346" s="29" t="str">
        <x:v>BTB-058</x:v>
      </x:c>
      <x:c r="B346" s="62" t="n">
        <x:v>46380</x:v>
      </x:c>
      <x:c r="C346" s="64" t="str">
        <x:v>P1</x:v>
      </x:c>
      <x:c r="D346" s="64" t="n">
        <x:v>3</x:v>
      </x:c>
      <x:c r="E346" s="29" t="str">
        <x:v>Take a practical inventory: what can I do, who can I ask, what do I already have?</x:v>
      </x:c>
      <x:c r="F346" s="29" t="str">
        <x:v>Slide 3 of 6. Take a practical inventory: what can I do, who can I ask, what do I already have?</x:v>
      </x:c>
      <x:c r="G346" s="29" t="str">
        <x:v>editorial</x:v>
      </x:c>
      <x:c r="H346" s="29" t="str">
        <x:v>Draft — owner review</x:v>
      </x:c>
    </x:row>
    <x:row r="347" ht="84" customHeight="1">
      <x:c r="A347" s="29" t="str">
        <x:v>BTB-058</x:v>
      </x:c>
      <x:c r="B347" s="62" t="n">
        <x:v>46380</x:v>
      </x:c>
      <x:c r="C347" s="64" t="str">
        <x:v>P1</x:v>
      </x:c>
      <x:c r="D347" s="64" t="n">
        <x:v>4</x:v>
      </x:c>
      <x:c r="E347" s="29" t="str">
        <x:v>Include small things. Knowing how to run a household or solve a work problem is not nothing.</x:v>
      </x:c>
      <x:c r="F347" s="29" t="str">
        <x:v>Slide 4 of 6. Include small things. Knowing how to run a household or solve a work problem is not nothing.</x:v>
      </x:c>
      <x:c r="G347" s="29" t="str">
        <x:v>editorial</x:v>
      </x:c>
      <x:c r="H347" s="29" t="str">
        <x:v>Draft — owner review</x:v>
      </x:c>
    </x:row>
    <x:row r="348" ht="84" customHeight="1">
      <x:c r="A348" s="29" t="str">
        <x:v>BTB-058</x:v>
      </x:c>
      <x:c r="B348" s="62" t="n">
        <x:v>46380</x:v>
      </x:c>
      <x:c r="C348" s="64" t="str">
        <x:v>P1</x:v>
      </x:c>
      <x:c r="D348" s="64" t="n">
        <x:v>5</x:v>
      </x:c>
      <x:c r="E348" s="29" t="str">
        <x:v>This does not minimise real losses. It helps you notice what is available for the next step.</x:v>
      </x:c>
      <x:c r="F348" s="29" t="str">
        <x:v>Slide 5 of 6. This does not minimise real losses. It helps you notice what is available for the next step.</x:v>
      </x:c>
      <x:c r="G348" s="29" t="str">
        <x:v>editorial</x:v>
      </x:c>
      <x:c r="H348" s="29" t="str">
        <x:v>Draft — owner review</x:v>
      </x:c>
    </x:row>
    <x:row r="349" ht="84" customHeight="1">
      <x:c r="A349" s="29" t="str">
        <x:v>BTB-058</x:v>
      </x:c>
      <x:c r="B349" s="62" t="n">
        <x:v>46380</x:v>
      </x:c>
      <x:c r="C349" s="64" t="str">
        <x:v>P1</x:v>
      </x:c>
      <x:c r="D349" s="64" t="n">
        <x:v>6</x:v>
      </x:c>
      <x:c r="E349" s="29" t="str">
        <x:v>Share this with someone who can see the damage more easily than their remaining resources.</x:v>
      </x:c>
      <x:c r="F349" s="29" t="str">
        <x:v>Slide 6 of 6. Share this with someone who can see the damage more easily than their remaining resources.</x:v>
      </x:c>
      <x:c r="G349" s="29" t="str">
        <x:v>editorial</x:v>
      </x:c>
      <x:c r="H349" s="29" t="str">
        <x:v>Draft — owner review</x:v>
      </x:c>
    </x:row>
    <x:row r="350" ht="84" customHeight="1">
      <x:c r="A350" s="29" t="str">
        <x:v>BTB-059</x:v>
      </x:c>
      <x:c r="B350" s="62" t="n">
        <x:v>46381</x:v>
      </x:c>
      <x:c r="C350" s="64" t="str">
        <x:v>P2</x:v>
      </x:c>
      <x:c r="D350" s="64" t="n">
        <x:v>1</x:v>
      </x:c>
      <x:c r="E350" s="29" t="str">
        <x:v>When advice feels like pressure, name the help you need.</x:v>
      </x:c>
      <x:c r="F350" s="29" t="str">
        <x:v>Slide 1 of 6. When advice feels like pressure, name the help you need.</x:v>
      </x:c>
      <x:c r="G350" s="29" t="str">
        <x:v>script</x:v>
      </x:c>
      <x:c r="H350" s="29" t="str">
        <x:v>Draft — owner review</x:v>
      </x:c>
    </x:row>
    <x:row r="351" ht="84" customHeight="1">
      <x:c r="A351" s="29" t="str">
        <x:v>BTB-059</x:v>
      </x:c>
      <x:c r="B351" s="62" t="n">
        <x:v>46381</x:v>
      </x:c>
      <x:c r="C351" s="64" t="str">
        <x:v>P2</x:v>
      </x:c>
      <x:c r="D351" s="64" t="n">
        <x:v>2</x:v>
      </x:c>
      <x:c r="E351" s="29" t="str">
        <x:v>Someone may be trying to help while offering more decisions than you can manage.</x:v>
      </x:c>
      <x:c r="F351" s="29" t="str">
        <x:v>Slide 2 of 6. Someone may be trying to help while offering more decisions than you can manage.</x:v>
      </x:c>
      <x:c r="G351" s="29" t="str">
        <x:v>script</x:v>
      </x:c>
      <x:c r="H351" s="29" t="str">
        <x:v>Draft — owner review</x:v>
      </x:c>
    </x:row>
    <x:row r="352" ht="84" customHeight="1">
      <x:c r="A352" s="29" t="str">
        <x:v>BTB-059</x:v>
      </x:c>
      <x:c r="B352" s="62" t="n">
        <x:v>46381</x:v>
      </x:c>
      <x:c r="C352" s="64" t="str">
        <x:v>P2</x:v>
      </x:c>
      <x:c r="D352" s="64" t="n">
        <x:v>3</x:v>
      </x:c>
      <x:c r="E352" s="29" t="str">
        <x:v>Try: “I appreciate the ideas. Could we focus on just the next step today?”</x:v>
      </x:c>
      <x:c r="F352" s="29" t="str">
        <x:v>Slide 3 of 6. Try: “I appreciate the ideas. Could we focus on just the next step today?”</x:v>
      </x:c>
      <x:c r="G352" s="29" t="str">
        <x:v>script</x:v>
      </x:c>
      <x:c r="H352" s="29" t="str">
        <x:v>Draft — owner review</x:v>
      </x:c>
    </x:row>
    <x:row r="353" ht="84" customHeight="1">
      <x:c r="A353" s="29" t="str">
        <x:v>BTB-059</x:v>
      </x:c>
      <x:c r="B353" s="62" t="n">
        <x:v>46381</x:v>
      </x:c>
      <x:c r="C353" s="64" t="str">
        <x:v>P2</x:v>
      </x:c>
      <x:c r="D353" s="64" t="n">
        <x:v>4</x:v>
      </x:c>
      <x:c r="E353" s="29" t="str">
        <x:v>Or: “Could you listen first? I am not ready to make a decision during this conversation.”</x:v>
      </x:c>
      <x:c r="F353" s="29" t="str">
        <x:v>Slide 4 of 6. Or: “Could you listen first? I am not ready to make a decision during this conversation.”</x:v>
      </x:c>
      <x:c r="G353" s="29" t="str">
        <x:v>script</x:v>
      </x:c>
      <x:c r="H353" s="29" t="str">
        <x:v>Draft — owner review</x:v>
      </x:c>
    </x:row>
    <x:row r="354" ht="84" customHeight="1">
      <x:c r="A354" s="29" t="str">
        <x:v>BTB-059</x:v>
      </x:c>
      <x:c r="B354" s="62" t="n">
        <x:v>46381</x:v>
      </x:c>
      <x:c r="C354" s="64" t="str">
        <x:v>P2</x:v>
      </x:c>
      <x:c r="D354" s="64" t="n">
        <x:v>5</x:v>
      </x:c>
      <x:c r="E354" s="29" t="str">
        <x:v>Be clear about your request without expecting the other person to provide more than they can.</x:v>
      </x:c>
      <x:c r="F354" s="29" t="str">
        <x:v>Slide 5 of 6. Be clear about your request without expecting the other person to provide more than they can.</x:v>
      </x:c>
      <x:c r="G354" s="29" t="str">
        <x:v>script</x:v>
      </x:c>
      <x:c r="H354" s="29" t="str">
        <x:v>Draft — owner review</x:v>
      </x:c>
    </x:row>
    <x:row r="355" ht="84" customHeight="1">
      <x:c r="A355" s="29" t="str">
        <x:v>BTB-059</x:v>
      </x:c>
      <x:c r="B355" s="62" t="n">
        <x:v>46381</x:v>
      </x:c>
      <x:c r="C355" s="64" t="str">
        <x:v>P2</x:v>
      </x:c>
      <x:c r="D355" s="64" t="n">
        <x:v>6</x:v>
      </x:c>
      <x:c r="E355" s="29" t="str">
        <x:v>Save these sentences for a conversation that is becoming another task.</x:v>
      </x:c>
      <x:c r="F355" s="29" t="str">
        <x:v>Slide 6 of 6. Save these sentences for a conversation that is becoming another task.</x:v>
      </x:c>
      <x:c r="G355" s="29" t="str">
        <x:v>script</x:v>
      </x:c>
      <x:c r="H355" s="29" t="str">
        <x:v>Draft — owner review</x:v>
      </x:c>
    </x:row>
    <x:row r="356" ht="84" customHeight="1">
      <x:c r="A356" s="29" t="str">
        <x:v>BTB-060</x:v>
      </x:c>
      <x:c r="B356" s="62" t="n">
        <x:v>46382</x:v>
      </x:c>
      <x:c r="C356" s="64" t="str">
        <x:v>P6</x:v>
      </x:c>
      <x:c r="D356" s="64" t="n">
        <x:v>1</x:v>
      </x:c>
      <x:c r="E356" s="29" t="str">
        <x:v>I want this page to leave you with more than a sad sentence.</x:v>
      </x:c>
      <x:c r="F356" s="29" t="str">
        <x:v>Slide 1 of 6. I want this page to leave you with more than a sad sentence.</x:v>
      </x:c>
      <x:c r="G356" s="29" t="str">
        <x:v>letter</x:v>
      </x:c>
      <x:c r="H356" s="29" t="str">
        <x:v>Draft — owner review</x:v>
      </x:c>
    </x:row>
    <x:row r="357" ht="84" customHeight="1">
      <x:c r="A357" s="29" t="str">
        <x:v>BTB-060</x:v>
      </x:c>
      <x:c r="B357" s="62" t="n">
        <x:v>46382</x:v>
      </x:c>
      <x:c r="C357" s="64" t="str">
        <x:v>P6</x:v>
      </x:c>
      <x:c r="D357" s="64" t="n">
        <x:v>2</x:v>
      </x:c>
      <x:c r="E357" s="29" t="str">
        <x:v>Feeling understood matters. Staying inside the same painful thought is not the only thing this content should offer.</x:v>
      </x:c>
      <x:c r="F357" s="29" t="str">
        <x:v>Slide 2 of 6. Feeling understood matters. Staying inside the same painful thought is not the only thing this content should offer.</x:v>
      </x:c>
      <x:c r="G357" s="29" t="str">
        <x:v>letter</x:v>
      </x:c>
      <x:c r="H357" s="29" t="str">
        <x:v>Draft — owner review</x:v>
      </x:c>
    </x:row>
    <x:row r="358" ht="84" customHeight="1">
      <x:c r="A358" s="29" t="str">
        <x:v>BTB-060</x:v>
      </x:c>
      <x:c r="B358" s="62" t="n">
        <x:v>46382</x:v>
      </x:c>
      <x:c r="C358" s="64" t="str">
        <x:v>P6</x:v>
      </x:c>
      <x:c r="D358" s="64" t="n">
        <x:v>3</x:v>
      </x:c>
      <x:c r="E358" s="29" t="str">
        <x:v>Each carousel will aim to leave you with a distinction, a question, or something practical to try.</x:v>
      </x:c>
      <x:c r="F358" s="29" t="str">
        <x:v>Slide 3 of 6. Each carousel will aim to leave you with a distinction, a question, or something practical to try.</x:v>
      </x:c>
      <x:c r="G358" s="29" t="str">
        <x:v>letter</x:v>
      </x:c>
      <x:c r="H358" s="29" t="str">
        <x:v>Draft — owner review</x:v>
      </x:c>
    </x:row>
    <x:row r="359" ht="84" customHeight="1">
      <x:c r="A359" s="29" t="str">
        <x:v>BTB-060</x:v>
      </x:c>
      <x:c r="B359" s="62" t="n">
        <x:v>46382</x:v>
      </x:c>
      <x:c r="C359" s="64" t="str">
        <x:v>P6</x:v>
      </x:c>
      <x:c r="D359" s="64" t="n">
        <x:v>4</x:v>
      </x:c>
      <x:c r="E359" s="29" t="str">
        <x:v>That does not mean every problem has a small solution. Some need time, resources, or qualified help.</x:v>
      </x:c>
      <x:c r="F359" s="29" t="str">
        <x:v>Slide 4 of 6. That does not mean every problem has a small solution. Some need time, resources, or qualified help.</x:v>
      </x:c>
      <x:c r="G359" s="29" t="str">
        <x:v>letter</x:v>
      </x:c>
      <x:c r="H359" s="29" t="str">
        <x:v>Draft — owner review</x:v>
      </x:c>
    </x:row>
    <x:row r="360" ht="84" customHeight="1">
      <x:c r="A360" s="29" t="str">
        <x:v>BTB-060</x:v>
      </x:c>
      <x:c r="B360" s="62" t="n">
        <x:v>46382</x:v>
      </x:c>
      <x:c r="C360" s="64" t="str">
        <x:v>P6</x:v>
      </x:c>
      <x:c r="D360" s="64" t="n">
        <x:v>5</x:v>
      </x:c>
      <x:c r="E360" s="29" t="str">
        <x:v>The promise is useful company in the work, not a claim that a post can rebuild a life.</x:v>
      </x:c>
      <x:c r="F360" s="29" t="str">
        <x:v>Slide 5 of 6. The promise is useful company in the work, not a claim that a post can rebuild a life.</x:v>
      </x:c>
      <x:c r="G360" s="29" t="str">
        <x:v>letter</x:v>
      </x:c>
      <x:c r="H360" s="29" t="str">
        <x:v>Draft — owner review</x:v>
      </x:c>
    </x:row>
    <x:row r="361" ht="84" customHeight="1">
      <x:c r="A361" s="29" t="str">
        <x:v>BTB-060</x:v>
      </x:c>
      <x:c r="B361" s="62" t="n">
        <x:v>46382</x:v>
      </x:c>
      <x:c r="C361" s="64" t="str">
        <x:v>P6</x:v>
      </x:c>
      <x:c r="D361" s="64" t="n">
        <x:v>6</x:v>
      </x:c>
      <x:c r="E361" s="29" t="str">
        <x:v>Follow for perspective that makes room for both the feeling and the next step.</x:v>
      </x:c>
      <x:c r="F361" s="29" t="str">
        <x:v>Slide 6 of 6. Follow for perspective that makes room for both the feeling and the next step.</x:v>
      </x:c>
      <x:c r="G361" s="29" t="str">
        <x:v>letter</x:v>
      </x:c>
      <x:c r="H361" s="29" t="str">
        <x:v>Draft — owner review</x:v>
      </x:c>
    </x:row>
    <x:row r="362" ht="84" customHeight="1">
      <x:c r="A362" s="29" t="str">
        <x:v>BTB-061</x:v>
      </x:c>
      <x:c r="B362" s="62" t="n">
        <x:v>46383</x:v>
      </x:c>
      <x:c r="C362" s="64" t="str">
        <x:v>P1</x:v>
      </x:c>
      <x:c r="D362" s="64" t="n">
        <x:v>1</x:v>
      </x:c>
      <x:c r="E362" s="29" t="str">
        <x:v>You can own your part without taking responsibility for everything.</x:v>
      </x:c>
      <x:c r="F362" s="29" t="str">
        <x:v>Slide 1 of 6. You can own your part without taking responsibility for everything.</x:v>
      </x:c>
      <x:c r="G362" s="29" t="str">
        <x:v>contrast</x:v>
      </x:c>
      <x:c r="H362" s="29" t="str">
        <x:v>Draft — owner review</x:v>
      </x:c>
    </x:row>
    <x:row r="363" ht="84" customHeight="1">
      <x:c r="A363" s="29" t="str">
        <x:v>BTB-061</x:v>
      </x:c>
      <x:c r="B363" s="62" t="n">
        <x:v>46383</x:v>
      </x:c>
      <x:c r="C363" s="64" t="str">
        <x:v>P1</x:v>
      </x:c>
      <x:c r="D363" s="64" t="n">
        <x:v>2</x:v>
      </x:c>
      <x:c r="E363" s="29" t="str">
        <x:v>Honest reflection is not the same as making yourself the cause of every difficult thing that happened.</x:v>
      </x:c>
      <x:c r="F363" s="29" t="str">
        <x:v>Slide 2 of 6. Honest reflection is not the same as making yourself the cause of every difficult thing that happened.</x:v>
      </x:c>
      <x:c r="G363" s="29" t="str">
        <x:v>contrast</x:v>
      </x:c>
      <x:c r="H363" s="29" t="str">
        <x:v>Draft — owner review</x:v>
      </x:c>
    </x:row>
    <x:row r="364" ht="84" customHeight="1">
      <x:c r="A364" s="29" t="str">
        <x:v>BTB-061</x:v>
      </x:c>
      <x:c r="B364" s="62" t="n">
        <x:v>46383</x:v>
      </x:c>
      <x:c r="C364" s="64" t="str">
        <x:v>P1</x:v>
      </x:c>
      <x:c r="D364" s="64" t="n">
        <x:v>3</x:v>
      </x:c>
      <x:c r="E364" s="29" t="str">
        <x:v>Separate your choices from someone else's choices, and both from circumstances neither of you controlled.</x:v>
      </x:c>
      <x:c r="F364" s="29" t="str">
        <x:v>Slide 3 of 6. Separate your choices from someone else's choices, and both from circumstances neither of you controlled.</x:v>
      </x:c>
      <x:c r="G364" s="29" t="str">
        <x:v>contrast</x:v>
      </x:c>
      <x:c r="H364" s="29" t="str">
        <x:v>Draft — owner review</x:v>
      </x:c>
    </x:row>
    <x:row r="365" ht="84" customHeight="1">
      <x:c r="A365" s="29" t="str">
        <x:v>BTB-061</x:v>
      </x:c>
      <x:c r="B365" s="62" t="n">
        <x:v>46383</x:v>
      </x:c>
      <x:c r="C365" s="64" t="str">
        <x:v>P1</x:v>
      </x:c>
      <x:c r="D365" s="64" t="n">
        <x:v>4</x:v>
      </x:c>
      <x:c r="E365" s="29" t="str">
        <x:v>Ask what you would do differently now. Keep the answer specific enough to act on.</x:v>
      </x:c>
      <x:c r="F365" s="29" t="str">
        <x:v>Slide 4 of 6. Ask what you would do differently now. Keep the answer specific enough to act on.</x:v>
      </x:c>
      <x:c r="G365" s="29" t="str">
        <x:v>contrast</x:v>
      </x:c>
      <x:c r="H365" s="29" t="str">
        <x:v>Draft — owner review</x:v>
      </x:c>
    </x:row>
    <x:row r="366" ht="84" customHeight="1">
      <x:c r="A366" s="29" t="str">
        <x:v>BTB-061</x:v>
      </x:c>
      <x:c r="B366" s="62" t="n">
        <x:v>46383</x:v>
      </x:c>
      <x:c r="C366" s="64" t="str">
        <x:v>P1</x:v>
      </x:c>
      <x:c r="D366" s="64" t="n">
        <x:v>5</x:v>
      </x:c>
      <x:c r="E366" s="29" t="str">
        <x:v>Accountability does not mean accepting abuse, excusing harm, or giving up your right to support.</x:v>
      </x:c>
      <x:c r="F366" s="29" t="str">
        <x:v>Slide 5 of 6. Accountability does not mean accepting abuse, excusing harm, or giving up your right to support.</x:v>
      </x:c>
      <x:c r="G366" s="29" t="str">
        <x:v>contrast</x:v>
      </x:c>
      <x:c r="H366" s="29" t="str">
        <x:v>Draft — owner review</x:v>
      </x:c>
    </x:row>
    <x:row r="367" ht="84" customHeight="1">
      <x:c r="A367" s="29" t="str">
        <x:v>BTB-061</x:v>
      </x:c>
      <x:c r="B367" s="62" t="n">
        <x:v>46383</x:v>
      </x:c>
      <x:c r="C367" s="64" t="str">
        <x:v>P1</x:v>
      </x:c>
      <x:c r="D367" s="64" t="n">
        <x:v>6</x:v>
      </x:c>
      <x:c r="E367" s="29" t="str">
        <x:v>Share this with someone trying to learn without turning reflection into self-punishment.</x:v>
      </x:c>
      <x:c r="F367" s="29" t="str">
        <x:v>Slide 6 of 6. Share this with someone trying to learn without turning reflection into self-punishment.</x:v>
      </x:c>
      <x:c r="G367" s="29" t="str">
        <x:v>contrast</x:v>
      </x:c>
      <x:c r="H367" s="29" t="str">
        <x:v>Draft — owner review</x:v>
      </x:c>
    </x:row>
    <x:row r="368" ht="84" customHeight="1">
      <x:c r="A368" s="29" t="str">
        <x:v>BTB-062</x:v>
      </x:c>
      <x:c r="B368" s="62" t="n">
        <x:v>46384</x:v>
      </x:c>
      <x:c r="C368" s="64" t="str">
        <x:v>P2</x:v>
      </x:c>
      <x:c r="D368" s="64" t="n">
        <x:v>1</x:v>
      </x:c>
      <x:c r="E368" s="29" t="str">
        <x:v>A setback needs a review, not an announcement that nothing works.</x:v>
      </x:c>
      <x:c r="F368" s="29" t="str">
        <x:v>Slide 1 of 6. A setback needs a review, not an announcement that nothing works.</x:v>
      </x:c>
      <x:c r="G368" s="29" t="str">
        <x:v>checklist</x:v>
      </x:c>
      <x:c r="H368" s="29" t="str">
        <x:v>Draft — owner review</x:v>
      </x:c>
    </x:row>
    <x:row r="369" ht="84" customHeight="1">
      <x:c r="A369" s="29" t="str">
        <x:v>BTB-062</x:v>
      </x:c>
      <x:c r="B369" s="62" t="n">
        <x:v>46384</x:v>
      </x:c>
      <x:c r="C369" s="64" t="str">
        <x:v>P2</x:v>
      </x:c>
      <x:c r="D369" s="64" t="n">
        <x:v>2</x:v>
      </x:c>
      <x:c r="E369" s="29" t="str">
        <x:v>One difficult exchange can make the routines you have been building feel pointless.</x:v>
      </x:c>
      <x:c r="F369" s="29" t="str">
        <x:v>Slide 2 of 6. One difficult exchange can make the routines you have been building feel pointless.</x:v>
      </x:c>
      <x:c r="G369" s="29" t="str">
        <x:v>checklist</x:v>
      </x:c>
      <x:c r="H369" s="29" t="str">
        <x:v>Draft — owner review</x:v>
      </x:c>
    </x:row>
    <x:row r="370" ht="84" customHeight="1">
      <x:c r="A370" s="29" t="str">
        <x:v>BTB-062</x:v>
      </x:c>
      <x:c r="B370" s="62" t="n">
        <x:v>46384</x:v>
      </x:c>
      <x:c r="C370" s="64" t="str">
        <x:v>P2</x:v>
      </x:c>
      <x:c r="D370" s="64" t="n">
        <x:v>3</x:v>
      </x:c>
      <x:c r="E370" s="29" t="str">
        <x:v>Ask what happened, what made it harder, and what could make a similar moment more manageable next time.</x:v>
      </x:c>
      <x:c r="F370" s="29" t="str">
        <x:v>Slide 3 of 6. Ask what happened, what made it harder, and what could make a similar moment more manageable next time.</x:v>
      </x:c>
      <x:c r="G370" s="29" t="str">
        <x:v>checklist</x:v>
      </x:c>
      <x:c r="H370" s="29" t="str">
        <x:v>Draft — owner review</x:v>
      </x:c>
    </x:row>
    <x:row r="371" ht="84" customHeight="1">
      <x:c r="A371" s="29" t="str">
        <x:v>BTB-062</x:v>
      </x:c>
      <x:c r="B371" s="62" t="n">
        <x:v>46384</x:v>
      </x:c>
      <x:c r="C371" s="64" t="str">
        <x:v>P2</x:v>
      </x:c>
      <x:c r="D371" s="64" t="n">
        <x:v>4</x:v>
      </x:c>
      <x:c r="E371" s="29" t="str">
        <x:v>Keep what was still useful. Change one part of the plan rather than throwing everything away.</x:v>
      </x:c>
      <x:c r="F371" s="29" t="str">
        <x:v>Slide 4 of 6. Keep what was still useful. Change one part of the plan rather than throwing everything away.</x:v>
      </x:c>
      <x:c r="G371" s="29" t="str">
        <x:v>checklist</x:v>
      </x:c>
      <x:c r="H371" s="29" t="str">
        <x:v>Draft — owner review</x:v>
      </x:c>
    </x:row>
    <x:row r="372" ht="84" customHeight="1">
      <x:c r="A372" s="29" t="str">
        <x:v>BTB-062</x:v>
      </x:c>
      <x:c r="B372" s="62" t="n">
        <x:v>46384</x:v>
      </x:c>
      <x:c r="C372" s="64" t="str">
        <x:v>P2</x:v>
      </x:c>
      <x:c r="D372" s="64" t="n">
        <x:v>5</x:v>
      </x:c>
      <x:c r="E372" s="29" t="str">
        <x:v>When the difficulty is persistent or unsafe, involve appropriate support instead of relying on willpower.</x:v>
      </x:c>
      <x:c r="F372" s="29" t="str">
        <x:v>Slide 5 of 6. When the difficulty is persistent or unsafe, involve appropriate support instead of relying on willpower.</x:v>
      </x:c>
      <x:c r="G372" s="29" t="str">
        <x:v>checklist</x:v>
      </x:c>
      <x:c r="H372" s="29" t="str">
        <x:v>Draft — owner review</x:v>
      </x:c>
    </x:row>
    <x:row r="373" ht="84" customHeight="1">
      <x:c r="A373" s="29" t="str">
        <x:v>BTB-062</x:v>
      </x:c>
      <x:c r="B373" s="62" t="n">
        <x:v>46384</x:v>
      </x:c>
      <x:c r="C373" s="64" t="str">
        <x:v>P2</x:v>
      </x:c>
      <x:c r="D373" s="64" t="n">
        <x:v>6</x:v>
      </x:c>
      <x:c r="E373" s="29" t="str">
        <x:v>Save these three questions for the day you want to abandon all your progress.</x:v>
      </x:c>
      <x:c r="F373" s="29" t="str">
        <x:v>Slide 6 of 6. Save these three questions for the day you want to abandon all your progress.</x:v>
      </x:c>
      <x:c r="G373" s="29" t="str">
        <x:v>checklist</x:v>
      </x:c>
      <x:c r="H373" s="29" t="str">
        <x:v>Draft — owner review</x:v>
      </x:c>
    </x:row>
    <x:row r="374" ht="84" customHeight="1">
      <x:c r="A374" s="29" t="str">
        <x:v>BTB-063</x:v>
      </x:c>
      <x:c r="B374" s="62" t="n">
        <x:v>46385</x:v>
      </x:c>
      <x:c r="C374" s="64" t="str">
        <x:v>P3</x:v>
      </x:c>
      <x:c r="D374" s="64" t="n">
        <x:v>1</x:v>
      </x:c>
      <x:c r="E374" s="29" t="str">
        <x:v>You can apologise to your child without asking them to comfort you.</x:v>
      </x:c>
      <x:c r="F374" s="29" t="str">
        <x:v>Slide 1 of 6. You can apologise to your child without asking them to comfort you.</x:v>
      </x:c>
      <x:c r="G374" s="29" t="str">
        <x:v>script</x:v>
      </x:c>
      <x:c r="H374" s="29" t="str">
        <x:v>Draft — owner review</x:v>
      </x:c>
    </x:row>
    <x:row r="375" ht="84" customHeight="1">
      <x:c r="A375" s="29" t="str">
        <x:v>BTB-063</x:v>
      </x:c>
      <x:c r="B375" s="62" t="n">
        <x:v>46385</x:v>
      </x:c>
      <x:c r="C375" s="64" t="str">
        <x:v>P3</x:v>
      </x:c>
      <x:c r="D375" s="64" t="n">
        <x:v>2</x:v>
      </x:c>
      <x:c r="E375" s="29" t="str">
        <x:v>If you spoke sharply, keep the repair focused on your behaviour rather than everything that made the day difficult.</x:v>
      </x:c>
      <x:c r="F375" s="29" t="str">
        <x:v>Slide 2 of 6. If you spoke sharply, keep the repair focused on your behaviour rather than everything that made the day difficult.</x:v>
      </x:c>
      <x:c r="G375" s="29" t="str">
        <x:v>script</x:v>
      </x:c>
      <x:c r="H375" s="29" t="str">
        <x:v>Draft — owner review</x:v>
      </x:c>
    </x:row>
    <x:row r="376" ht="84" customHeight="1">
      <x:c r="A376" s="29" t="str">
        <x:v>BTB-063</x:v>
      </x:c>
      <x:c r="B376" s="62" t="n">
        <x:v>46385</x:v>
      </x:c>
      <x:c r="C376" s="64" t="str">
        <x:v>P3</x:v>
      </x:c>
      <x:c r="D376" s="64" t="n">
        <x:v>3</x:v>
      </x:c>
      <x:c r="E376" s="29" t="str">
        <x:v>Try: “I spoke harshly. That wasn't fair to you. I'm sorry. I will try that conversation again more calmly.”</x:v>
      </x:c>
      <x:c r="F376" s="29" t="str">
        <x:v>Slide 3 of 6. Try: “I spoke harshly. That wasn't fair to you. I'm sorry. I will try that conversation again more calmly.”</x:v>
      </x:c>
      <x:c r="G376" s="29" t="str">
        <x:v>script</x:v>
      </x:c>
      <x:c r="H376" s="29" t="str">
        <x:v>Draft — owner review</x:v>
      </x:c>
    </x:row>
    <x:row r="377" ht="84" customHeight="1">
      <x:c r="A377" s="29" t="str">
        <x:v>BTB-063</x:v>
      </x:c>
      <x:c r="B377" s="62" t="n">
        <x:v>46385</x:v>
      </x:c>
      <x:c r="C377" s="64" t="str">
        <x:v>P3</x:v>
      </x:c>
      <x:c r="D377" s="64" t="n">
        <x:v>4</x:v>
      </x:c>
      <x:c r="E377" s="29" t="str">
        <x:v>Do not add private adult conflict as an excuse. Let your child respond without requiring immediate forgiveness.</x:v>
      </x:c>
      <x:c r="F377" s="29" t="str">
        <x:v>Slide 4 of 6. Do not add private adult conflict as an excuse. Let your child respond without requiring immediate forgiveness.</x:v>
      </x:c>
      <x:c r="G377" s="29" t="str">
        <x:v>script</x:v>
      </x:c>
      <x:c r="H377" s="29" t="str">
        <x:v>Draft — owner review</x:v>
      </x:c>
    </x:row>
    <x:row r="378" ht="84" customHeight="1">
      <x:c r="A378" s="29" t="str">
        <x:v>BTB-063</x:v>
      </x:c>
      <x:c r="B378" s="62" t="n">
        <x:v>46385</x:v>
      </x:c>
      <x:c r="C378" s="64" t="str">
        <x:v>P3</x:v>
      </x:c>
      <x:c r="D378" s="64" t="n">
        <x:v>5</x:v>
      </x:c>
      <x:c r="E378" s="29" t="str">
        <x:v>Follow the apology with a different action. Seek support if the same harmful pattern keeps happening.</x:v>
      </x:c>
      <x:c r="F378" s="29" t="str">
        <x:v>Slide 5 of 6. Follow the apology with a different action. Seek support if the same harmful pattern keeps happening.</x:v>
      </x:c>
      <x:c r="G378" s="29" t="str">
        <x:v>script</x:v>
      </x:c>
      <x:c r="H378" s="29" t="str">
        <x:v>Draft — owner review</x:v>
      </x:c>
    </x:row>
    <x:row r="379" ht="84" customHeight="1">
      <x:c r="A379" s="29" t="str">
        <x:v>BTB-063</x:v>
      </x:c>
      <x:c r="B379" s="62" t="n">
        <x:v>46385</x:v>
      </x:c>
      <x:c r="C379" s="64" t="str">
        <x:v>P3</x:v>
      </x:c>
      <x:c r="D379" s="64" t="n">
        <x:v>6</x:v>
      </x:c>
      <x:c r="E379" s="29" t="str">
        <x:v>Save this example for a repair that keeps the adult responsibility with the adult.</x:v>
      </x:c>
      <x:c r="F379" s="29" t="str">
        <x:v>Slide 6 of 6. Save this example for a repair that keeps the adult responsibility with the adult.</x:v>
      </x:c>
      <x:c r="G379" s="29" t="str">
        <x:v>script</x:v>
      </x:c>
      <x:c r="H379" s="29" t="str">
        <x:v>Draft — owner review</x:v>
      </x:c>
    </x:row>
    <x:row r="380" ht="84" customHeight="1">
      <x:c r="A380" s="29" t="str">
        <x:v>BTB-064</x:v>
      </x:c>
      <x:c r="B380" s="62" t="n">
        <x:v>46386</x:v>
      </x:c>
      <x:c r="C380" s="64" t="str">
        <x:v>P4</x:v>
      </x:c>
      <x:c r="D380" s="64" t="n">
        <x:v>1</x:v>
      </x:c>
      <x:c r="E380" s="29" t="str">
        <x:v>A clear request is not a demand for someone to read your mind.</x:v>
      </x:c>
      <x:c r="F380" s="29" t="str">
        <x:v>Slide 1 of 6. A clear request is not a demand for someone to read your mind.</x:v>
      </x:c>
      <x:c r="G380" s="29" t="str">
        <x:v>script</x:v>
      </x:c>
      <x:c r="H380" s="29" t="str">
        <x:v>Draft — owner review</x:v>
      </x:c>
    </x:row>
    <x:row r="381" ht="84" customHeight="1">
      <x:c r="A381" s="29" t="str">
        <x:v>BTB-064</x:v>
      </x:c>
      <x:c r="B381" s="62" t="n">
        <x:v>46386</x:v>
      </x:c>
      <x:c r="C381" s="64" t="str">
        <x:v>P4</x:v>
      </x:c>
      <x:c r="D381" s="64" t="n">
        <x:v>2</x:v>
      </x:c>
      <x:c r="E381" s="29" t="str">
        <x:v>“You should know” can leave both people arguing about expectations that were never discussed.</x:v>
      </x:c>
      <x:c r="F381" s="29" t="str">
        <x:v>Slide 2 of 6. “You should know” can leave both people arguing about expectations that were never discussed.</x:v>
      </x:c>
      <x:c r="G381" s="29" t="str">
        <x:v>script</x:v>
      </x:c>
      <x:c r="H381" s="29" t="str">
        <x:v>Draft — owner review</x:v>
      </x:c>
    </x:row>
    <x:row r="382" ht="84" customHeight="1">
      <x:c r="A382" s="29" t="str">
        <x:v>BTB-064</x:v>
      </x:c>
      <x:c r="B382" s="62" t="n">
        <x:v>46386</x:v>
      </x:c>
      <x:c r="C382" s="64" t="str">
        <x:v>P4</x:v>
      </x:c>
      <x:c r="D382" s="64" t="n">
        <x:v>3</x:v>
      </x:c>
      <x:c r="E382" s="29" t="str">
        <x:v>Where safe, try: “When plans change, I would appreciate a message so I can adjust my evening.”</x:v>
      </x:c>
      <x:c r="F382" s="29" t="str">
        <x:v>Slide 3 of 6. Where safe, try: “When plans change, I would appreciate a message so I can adjust my evening.”</x:v>
      </x:c>
      <x:c r="G382" s="29" t="str">
        <x:v>script</x:v>
      </x:c>
      <x:c r="H382" s="29" t="str">
        <x:v>Draft — owner review</x:v>
      </x:c>
    </x:row>
    <x:row r="383" ht="84" customHeight="1">
      <x:c r="A383" s="29" t="str">
        <x:v>BTB-064</x:v>
      </x:c>
      <x:c r="B383" s="62" t="n">
        <x:v>46386</x:v>
      </x:c>
      <x:c r="C383" s="64" t="str">
        <x:v>P4</x:v>
      </x:c>
      <x:c r="D383" s="64" t="n">
        <x:v>4</x:v>
      </x:c>
      <x:c r="E383" s="29" t="str">
        <x:v>Ask what is realistic for the other person too. Agreement needs more than one person's preferred arrangement.</x:v>
      </x:c>
      <x:c r="F383" s="29" t="str">
        <x:v>Slide 4 of 6. Ask what is realistic for the other person too. Agreement needs more than one person's preferred arrangement.</x:v>
      </x:c>
      <x:c r="G383" s="29" t="str">
        <x:v>script</x:v>
      </x:c>
      <x:c r="H383" s="29" t="str">
        <x:v>Draft — owner review</x:v>
      </x:c>
    </x:row>
    <x:row r="384" ht="84" customHeight="1">
      <x:c r="A384" s="29" t="str">
        <x:v>BTB-064</x:v>
      </x:c>
      <x:c r="B384" s="62" t="n">
        <x:v>46386</x:v>
      </x:c>
      <x:c r="C384" s="64" t="str">
        <x:v>P4</x:v>
      </x:c>
      <x:c r="D384" s="64" t="n">
        <x:v>5</x:v>
      </x:c>
      <x:c r="E384" s="29" t="str">
        <x:v>Notice whether the conversation leads to an actual understanding, not only a vague promise to do better.</x:v>
      </x:c>
      <x:c r="F384" s="29" t="str">
        <x:v>Slide 5 of 6. Notice whether the conversation leads to an actual understanding, not only a vague promise to do better.</x:v>
      </x:c>
      <x:c r="G384" s="29" t="str">
        <x:v>script</x:v>
      </x:c>
      <x:c r="H384" s="29" t="str">
        <x:v>Draft — owner review</x:v>
      </x:c>
    </x:row>
    <x:row r="385" ht="84" customHeight="1">
      <x:c r="A385" s="29" t="str">
        <x:v>BTB-064</x:v>
      </x:c>
      <x:c r="B385" s="62" t="n">
        <x:v>46386</x:v>
      </x:c>
      <x:c r="C385" s="64" t="str">
        <x:v>P4</x:v>
      </x:c>
      <x:c r="D385" s="64" t="n">
        <x:v>6</x:v>
      </x:c>
      <x:c r="E385" s="29" t="str">
        <x:v>Save this structure: the situation, the practical impact, and a specific request.</x:v>
      </x:c>
      <x:c r="F385" s="29" t="str">
        <x:v>Slide 6 of 6. Save this structure: the situation, the practical impact, and a specific request.</x:v>
      </x:c>
      <x:c r="G385" s="29" t="str">
        <x:v>script</x:v>
      </x:c>
      <x:c r="H385" s="29" t="str">
        <x:v>Draft — owner review</x:v>
      </x:c>
    </x:row>
    <x:row r="386" ht="84" customHeight="1">
      <x:c r="A386" s="29" t="str">
        <x:v>BTB-065</x:v>
      </x:c>
      <x:c r="B386" s="62" t="n">
        <x:v>46387</x:v>
      </x:c>
      <x:c r="C386" s="64" t="str">
        <x:v>P5</x:v>
      </x:c>
      <x:c r="D386" s="64" t="n">
        <x:v>1</x:v>
      </x:c>
      <x:c r="E386" s="29" t="str">
        <x:v>The new year does not need twelve new versions of you.</x:v>
      </x:c>
      <x:c r="F386" s="29" t="str">
        <x:v>Slide 1 of 6. The new year does not need twelve new versions of you.</x:v>
      </x:c>
      <x:c r="G386" s="29" t="str">
        <x:v>checklist</x:v>
      </x:c>
      <x:c r="H386" s="29" t="str">
        <x:v>Draft — owner review</x:v>
      </x:c>
    </x:row>
    <x:row r="387" ht="84" customHeight="1">
      <x:c r="A387" s="29" t="str">
        <x:v>BTB-065</x:v>
      </x:c>
      <x:c r="B387" s="62" t="n">
        <x:v>46387</x:v>
      </x:c>
      <x:c r="C387" s="64" t="str">
        <x:v>P5</x:v>
      </x:c>
      <x:c r="D387" s="64" t="n">
        <x:v>2</x:v>
      </x:c>
      <x:c r="E387" s="29" t="str">
        <x:v>A calendar change can make every unfinished area of life feel like an urgent improvement project.</x:v>
      </x:c>
      <x:c r="F387" s="29" t="str">
        <x:v>Slide 2 of 6. A calendar change can make every unfinished area of life feel like an urgent improvement project.</x:v>
      </x:c>
      <x:c r="G387" s="29" t="str">
        <x:v>checklist</x:v>
      </x:c>
      <x:c r="H387" s="29" t="str">
        <x:v>Draft — owner review</x:v>
      </x:c>
    </x:row>
    <x:row r="388" ht="84" customHeight="1">
      <x:c r="A388" s="29" t="str">
        <x:v>BTB-065</x:v>
      </x:c>
      <x:c r="B388" s="62" t="n">
        <x:v>46387</x:v>
      </x:c>
      <x:c r="C388" s="64" t="str">
        <x:v>P5</x:v>
      </x:c>
      <x:c r="D388" s="64" t="n">
        <x:v>3</x:v>
      </x:c>
      <x:c r="E388" s="29" t="str">
        <x:v>Choose one thing to maintain, one thing to simplify, and one thing to explore.</x:v>
      </x:c>
      <x:c r="F388" s="29" t="str">
        <x:v>Slide 3 of 6. Choose one thing to maintain, one thing to simplify, and one thing to explore.</x:v>
      </x:c>
      <x:c r="G388" s="29" t="str">
        <x:v>checklist</x:v>
      </x:c>
      <x:c r="H388" s="29" t="str">
        <x:v>Draft — owner review</x:v>
      </x:c>
    </x:row>
    <x:row r="389" ht="84" customHeight="1">
      <x:c r="A389" s="29" t="str">
        <x:v>BTB-065</x:v>
      </x:c>
      <x:c r="B389" s="62" t="n">
        <x:v>46387</x:v>
      </x:c>
      <x:c r="C389" s="64" t="str">
        <x:v>P5</x:v>
      </x:c>
      <x:c r="D389" s="64" t="n">
        <x:v>4</x:v>
      </x:c>
      <x:c r="E389" s="29" t="str">
        <x:v>Give each a realistic action. Leave goals that depend on other people's decisions out of your promises to yourself.</x:v>
      </x:c>
      <x:c r="F389" s="29" t="str">
        <x:v>Slide 4 of 6. Give each a realistic action. Leave goals that depend on other people's decisions out of your promises to yourself.</x:v>
      </x:c>
      <x:c r="G389" s="29" t="str">
        <x:v>checklist</x:v>
      </x:c>
      <x:c r="H389" s="29" t="str">
        <x:v>Draft — owner review</x:v>
      </x:c>
    </x:row>
    <x:row r="390" ht="84" customHeight="1">
      <x:c r="A390" s="29" t="str">
        <x:v>BTB-065</x:v>
      </x:c>
      <x:c r="B390" s="62" t="n">
        <x:v>46387</x:v>
      </x:c>
      <x:c r="C390" s="64" t="str">
        <x:v>P5</x:v>
      </x:c>
      <x:c r="D390" s="64" t="n">
        <x:v>5</x:v>
      </x:c>
      <x:c r="E390" s="29" t="str">
        <x:v>Review the plan against your actual time and resources, not the energy of a single hopeful evening.</x:v>
      </x:c>
      <x:c r="F390" s="29" t="str">
        <x:v>Slide 5 of 6. Review the plan against your actual time and resources, not the energy of a single hopeful evening.</x:v>
      </x:c>
      <x:c r="G390" s="29" t="str">
        <x:v>checklist</x:v>
      </x:c>
      <x:c r="H390" s="29" t="str">
        <x:v>Draft — owner review</x:v>
      </x:c>
    </x:row>
    <x:row r="391" ht="84" customHeight="1">
      <x:c r="A391" s="29" t="str">
        <x:v>BTB-065</x:v>
      </x:c>
      <x:c r="B391" s="62" t="n">
        <x:v>46387</x:v>
      </x:c>
      <x:c r="C391" s="64" t="str">
        <x:v>P5</x:v>
      </x:c>
      <x:c r="D391" s="64" t="n">
        <x:v>6</x:v>
      </x:c>
      <x:c r="E391" s="29" t="str">
        <x:v>Save this before turning a fresh year into an impossible contract.</x:v>
      </x:c>
      <x:c r="F391" s="29" t="str">
        <x:v>Slide 6 of 6. Save this before turning a fresh year into an impossible contract.</x:v>
      </x:c>
      <x:c r="G391" s="29" t="str">
        <x:v>checklist</x:v>
      </x:c>
      <x:c r="H391" s="29" t="str">
        <x:v>Draft — owner review</x:v>
      </x:c>
    </x:row>
    <x:row r="392" ht="84" customHeight="1">
      <x:c r="A392" s="29" t="str">
        <x:v>BTB-066</x:v>
      </x:c>
      <x:c r="B392" s="62" t="n">
        <x:v>46388</x:v>
      </x:c>
      <x:c r="C392" s="64" t="str">
        <x:v>P1</x:v>
      </x:c>
      <x:c r="D392" s="64" t="n">
        <x:v>1</x:v>
      </x:c>
      <x:c r="E392" s="29" t="str">
        <x:v>You do not need to become a different person by Monday.</x:v>
      </x:c>
      <x:c r="F392" s="29" t="str">
        <x:v>Slide 1 of 6. You do not need to become a different person by Monday.</x:v>
      </x:c>
      <x:c r="G392" s="29" t="str">
        <x:v>editorial</x:v>
      </x:c>
      <x:c r="H392" s="29" t="str">
        <x:v>Draft — owner review</x:v>
      </x:c>
    </x:row>
    <x:row r="393" ht="84" customHeight="1">
      <x:c r="A393" s="29" t="str">
        <x:v>BTB-066</x:v>
      </x:c>
      <x:c r="B393" s="62" t="n">
        <x:v>46388</x:v>
      </x:c>
      <x:c r="C393" s="64" t="str">
        <x:v>P1</x:v>
      </x:c>
      <x:c r="D393" s="64" t="n">
        <x:v>2</x:v>
      </x:c>
      <x:c r="E393" s="29" t="str">
        <x:v>The rebuild can begin with a different choice inside the life you already have.</x:v>
      </x:c>
      <x:c r="F393" s="29" t="str">
        <x:v>Slide 2 of 6. The rebuild can begin with a different choice inside the life you already have.</x:v>
      </x:c>
      <x:c r="G393" s="29" t="str">
        <x:v>editorial</x:v>
      </x:c>
      <x:c r="H393" s="29" t="str">
        <x:v>Draft — owner review</x:v>
      </x:c>
    </x:row>
    <x:row r="394" ht="84" customHeight="1">
      <x:c r="A394" s="29" t="str">
        <x:v>BTB-066</x:v>
      </x:c>
      <x:c r="B394" s="62" t="n">
        <x:v>46388</x:v>
      </x:c>
      <x:c r="C394" s="64" t="str">
        <x:v>P1</x:v>
      </x:c>
      <x:c r="D394" s="64" t="n">
        <x:v>3</x:v>
      </x:c>
      <x:c r="E394" s="29" t="str">
        <x:v>A clearer reply. A realistic commitment. A question you finally ask. A task you stop avoiding.</x:v>
      </x:c>
      <x:c r="F394" s="29" t="str">
        <x:v>Slide 3 of 6. A clearer reply. A realistic commitment. A question you finally ask. A task you stop avoiding.</x:v>
      </x:c>
      <x:c r="G394" s="29" t="str">
        <x:v>editorial</x:v>
      </x:c>
      <x:c r="H394" s="29" t="str">
        <x:v>Draft — owner review</x:v>
      </x:c>
    </x:row>
    <x:row r="395" ht="84" customHeight="1">
      <x:c r="A395" s="29" t="str">
        <x:v>BTB-066</x:v>
      </x:c>
      <x:c r="B395" s="62" t="n">
        <x:v>46388</x:v>
      </x:c>
      <x:c r="C395" s="64" t="str">
        <x:v>P1</x:v>
      </x:c>
      <x:c r="D395" s="64" t="n">
        <x:v>4</x:v>
      </x:c>
      <x:c r="E395" s="29" t="str">
        <x:v>Pick one change that would be useful even if nobody called it a transformation.</x:v>
      </x:c>
      <x:c r="F395" s="29" t="str">
        <x:v>Slide 4 of 6. Pick one change that would be useful even if nobody called it a transformation.</x:v>
      </x:c>
      <x:c r="G395" s="29" t="str">
        <x:v>editorial</x:v>
      </x:c>
      <x:c r="H395" s="29" t="str">
        <x:v>Draft — owner review</x:v>
      </x:c>
    </x:row>
    <x:row r="396" ht="84" customHeight="1">
      <x:c r="A396" s="29" t="str">
        <x:v>BTB-066</x:v>
      </x:c>
      <x:c r="B396" s="62" t="n">
        <x:v>46388</x:v>
      </x:c>
      <x:c r="C396" s="64" t="str">
        <x:v>P1</x:v>
      </x:c>
      <x:c r="D396" s="64" t="n">
        <x:v>5</x:v>
      </x:c>
      <x:c r="E396" s="29" t="str">
        <x:v>Let it be a choice to practise, not a promise that you will never struggle with it again.</x:v>
      </x:c>
      <x:c r="F396" s="29" t="str">
        <x:v>Slide 5 of 6. Let it be a choice to practise, not a promise that you will never struggle with it again.</x:v>
      </x:c>
      <x:c r="G396" s="29" t="str">
        <x:v>editorial</x:v>
      </x:c>
      <x:c r="H396" s="29" t="str">
        <x:v>Draft — owner review</x:v>
      </x:c>
    </x:row>
    <x:row r="397" ht="84" customHeight="1">
      <x:c r="A397" s="29" t="str">
        <x:v>BTB-066</x:v>
      </x:c>
      <x:c r="B397" s="62" t="n">
        <x:v>46388</x:v>
      </x:c>
      <x:c r="C397" s="64" t="str">
        <x:v>P1</x:v>
      </x:c>
      <x:c r="D397" s="64" t="n">
        <x:v>6</x:v>
      </x:c>
      <x:c r="E397" s="29" t="str">
        <x:v>Send this to someone feeling rushed to produce a new self for a new chapter.</x:v>
      </x:c>
      <x:c r="F397" s="29" t="str">
        <x:v>Slide 6 of 6. Send this to someone feeling rushed to produce a new self for a new chapter.</x:v>
      </x:c>
      <x:c r="G397" s="29" t="str">
        <x:v>editorial</x:v>
      </x:c>
      <x:c r="H397" s="29" t="str">
        <x:v>Draft — owner review</x:v>
      </x:c>
    </x:row>
    <x:row r="398" ht="84" customHeight="1">
      <x:c r="A398" s="29" t="str">
        <x:v>BTB-067</x:v>
      </x:c>
      <x:c r="B398" s="62" t="n">
        <x:v>46389</x:v>
      </x:c>
      <x:c r="C398" s="64" t="str">
        <x:v>P2</x:v>
      </x:c>
      <x:c r="D398" s="64" t="n">
        <x:v>1</x:v>
      </x:c>
      <x:c r="E398" s="29" t="str">
        <x:v>Anger can tell you something matters. It cannot make every decision for you.</x:v>
      </x:c>
      <x:c r="F398" s="29" t="str">
        <x:v>Slide 1 of 6. Anger can tell you something matters. It cannot make every decision for you.</x:v>
      </x:c>
      <x:c r="G398" s="29" t="str">
        <x:v>contrast</x:v>
      </x:c>
      <x:c r="H398" s="29" t="str">
        <x:v>Draft — owner review</x:v>
      </x:c>
    </x:row>
    <x:row r="399" ht="84" customHeight="1">
      <x:c r="A399" s="29" t="str">
        <x:v>BTB-067</x:v>
      </x:c>
      <x:c r="B399" s="62" t="n">
        <x:v>46389</x:v>
      </x:c>
      <x:c r="C399" s="64" t="str">
        <x:v>P2</x:v>
      </x:c>
      <x:c r="D399" s="64" t="n">
        <x:v>2</x:v>
      </x:c>
      <x:c r="E399" s="29" t="str">
        <x:v>You may have a real concern and still need to choose how, when, and where to address it.</x:v>
      </x:c>
      <x:c r="F399" s="29" t="str">
        <x:v>Slide 2 of 6. You may have a real concern and still need to choose how, when, and where to address it.</x:v>
      </x:c>
      <x:c r="G399" s="29" t="str">
        <x:v>contrast</x:v>
      </x:c>
      <x:c r="H399" s="29" t="str">
        <x:v>Draft — owner review</x:v>
      </x:c>
    </x:row>
    <x:row r="400" ht="84" customHeight="1">
      <x:c r="A400" s="29" t="str">
        <x:v>BTB-067</x:v>
      </x:c>
      <x:c r="B400" s="62" t="n">
        <x:v>46389</x:v>
      </x:c>
      <x:c r="C400" s="64" t="str">
        <x:v>P2</x:v>
      </x:c>
      <x:c r="D400" s="64" t="n">
        <x:v>3</x:v>
      </x:c>
      <x:c r="E400" s="29" t="str">
        <x:v>Write the concern without the insult. What happened? What needs attention? Who can help appropriately?</x:v>
      </x:c>
      <x:c r="F400" s="29" t="str">
        <x:v>Slide 3 of 6. Write the concern without the insult. What happened? What needs attention? Who can help appropriately?</x:v>
      </x:c>
      <x:c r="G400" s="29" t="str">
        <x:v>contrast</x:v>
      </x:c>
      <x:c r="H400" s="29" t="str">
        <x:v>Draft — owner review</x:v>
      </x:c>
    </x:row>
    <x:row r="401" ht="84" customHeight="1">
      <x:c r="A401" s="29" t="str">
        <x:v>BTB-067</x:v>
      </x:c>
      <x:c r="B401" s="62" t="n">
        <x:v>46389</x:v>
      </x:c>
      <x:c r="C401" s="64" t="str">
        <x:v>P2</x:v>
      </x:c>
      <x:c r="D401" s="64" t="n">
        <x:v>4</x:v>
      </x:c>
      <x:c r="E401" s="29" t="str">
        <x:v>Keep urgent safety issues separate from ordinary disagreements. Those may need immediate professional or emergency support.</x:v>
      </x:c>
      <x:c r="F401" s="29" t="str">
        <x:v>Slide 4 of 6. Keep urgent safety issues separate from ordinary disagreements. Those may need immediate professional or emergency support.</x:v>
      </x:c>
      <x:c r="G401" s="29" t="str">
        <x:v>contrast</x:v>
      </x:c>
      <x:c r="H401" s="29" t="str">
        <x:v>Draft — owner review</x:v>
      </x:c>
    </x:row>
    <x:row r="402" ht="84" customHeight="1">
      <x:c r="A402" s="29" t="str">
        <x:v>BTB-067</x:v>
      </x:c>
      <x:c r="B402" s="62" t="n">
        <x:v>46389</x:v>
      </x:c>
      <x:c r="C402" s="64" t="str">
        <x:v>P2</x:v>
      </x:c>
      <x:c r="D402" s="64" t="n">
        <x:v>5</x:v>
      </x:c>
      <x:c r="E402" s="29" t="str">
        <x:v>For a non-urgent issue, choose a response you can stand behind after the intensity changes.</x:v>
      </x:c>
      <x:c r="F402" s="29" t="str">
        <x:v>Slide 5 of 6. For a non-urgent issue, choose a response you can stand behind after the intensity changes.</x:v>
      </x:c>
      <x:c r="G402" s="29" t="str">
        <x:v>contrast</x:v>
      </x:c>
      <x:c r="H402" s="29" t="str">
        <x:v>Draft — owner review</x:v>
      </x:c>
    </x:row>
    <x:row r="403" ht="84" customHeight="1">
      <x:c r="A403" s="29" t="str">
        <x:v>BTB-067</x:v>
      </x:c>
      <x:c r="B403" s="62" t="n">
        <x:v>46389</x:v>
      </x:c>
      <x:c r="C403" s="64" t="str">
        <x:v>P2</x:v>
      </x:c>
      <x:c r="D403" s="64" t="n">
        <x:v>6</x:v>
      </x:c>
      <x:c r="E403" s="29" t="str">
        <x:v>Share this with someone who needs their concern heard, not lost inside the reaction.</x:v>
      </x:c>
      <x:c r="F403" s="29" t="str">
        <x:v>Slide 6 of 6. Share this with someone who needs their concern heard, not lost inside the reaction.</x:v>
      </x:c>
      <x:c r="G403" s="29" t="str">
        <x:v>contrast</x:v>
      </x:c>
      <x:c r="H403" s="29" t="str">
        <x:v>Draft — owner review</x:v>
      </x:c>
    </x:row>
    <x:row r="404" ht="84" customHeight="1">
      <x:c r="A404" s="29" t="str">
        <x:v>BTB-068</x:v>
      </x:c>
      <x:c r="B404" s="62" t="n">
        <x:v>46390</x:v>
      </x:c>
      <x:c r="C404" s="64" t="str">
        <x:v>P5</x:v>
      </x:c>
      <x:c r="D404" s="64" t="n">
        <x:v>1</x:v>
      </x:c>
      <x:c r="E404" s="29" t="str">
        <x:v>Stop making your hardest task compete with every notification.</x:v>
      </x:c>
      <x:c r="F404" s="29" t="str">
        <x:v>Slide 1 of 6. Stop making your hardest task compete with every notification.</x:v>
      </x:c>
      <x:c r="G404" s="29" t="str">
        <x:v>checklist</x:v>
      </x:c>
      <x:c r="H404" s="29" t="str">
        <x:v>Draft — owner review</x:v>
      </x:c>
    </x:row>
    <x:row r="405" ht="84" customHeight="1">
      <x:c r="A405" s="29" t="str">
        <x:v>BTB-068</x:v>
      </x:c>
      <x:c r="B405" s="62" t="n">
        <x:v>46390</x:v>
      </x:c>
      <x:c r="C405" s="64" t="str">
        <x:v>P5</x:v>
      </x:c>
      <x:c r="D405" s="64" t="n">
        <x:v>2</x:v>
      </x:c>
      <x:c r="E405" s="29" t="str">
        <x:v>A small pocket of attention may be all you can reasonably protect today.</x:v>
      </x:c>
      <x:c r="F405" s="29" t="str">
        <x:v>Slide 2 of 6. A small pocket of attention may be all you can reasonably protect today.</x:v>
      </x:c>
      <x:c r="G405" s="29" t="str">
        <x:v>checklist</x:v>
      </x:c>
      <x:c r="H405" s="29" t="str">
        <x:v>Draft — owner review</x:v>
      </x:c>
    </x:row>
    <x:row r="406" ht="84" customHeight="1">
      <x:c r="A406" s="29" t="str">
        <x:v>BTB-068</x:v>
      </x:c>
      <x:c r="B406" s="62" t="n">
        <x:v>46390</x:v>
      </x:c>
      <x:c r="C406" s="64" t="str">
        <x:v>P5</x:v>
      </x:c>
      <x:c r="D406" s="64" t="n">
        <x:v>3</x:v>
      </x:c>
      <x:c r="E406" s="29" t="str">
        <x:v>Choose one defined task. Gather what it needs before starting.</x:v>
      </x:c>
      <x:c r="F406" s="29" t="str">
        <x:v>Slide 3 of 6. Choose one defined task. Gather what it needs before starting.</x:v>
      </x:c>
      <x:c r="G406" s="29" t="str">
        <x:v>checklist</x:v>
      </x:c>
      <x:c r="H406" s="29" t="str">
        <x:v>Draft — owner review</x:v>
      </x:c>
    </x:row>
    <x:row r="407" ht="84" customHeight="1">
      <x:c r="A407" s="29" t="str">
        <x:v>BTB-068</x:v>
      </x:c>
      <x:c r="B407" s="62" t="n">
        <x:v>46390</x:v>
      </x:c>
      <x:c r="C407" s="64" t="str">
        <x:v>P5</x:v>
      </x:c>
      <x:c r="D407" s="64" t="n">
        <x:v>4</x:v>
      </x:c>
      <x:c r="E407" s="29" t="str">
        <x:v>Pause non-essential alerts where appropriate, while keeping necessary emergency and caregiving channels available.</x:v>
      </x:c>
      <x:c r="F407" s="29" t="str">
        <x:v>Slide 4 of 6. Pause non-essential alerts where appropriate, while keeping necessary emergency and caregiving channels available.</x:v>
      </x:c>
      <x:c r="G407" s="29" t="str">
        <x:v>checklist</x:v>
      </x:c>
      <x:c r="H407" s="29" t="str">
        <x:v>Draft — owner review</x:v>
      </x:c>
    </x:row>
    <x:row r="408" ht="84" customHeight="1">
      <x:c r="A408" s="29" t="str">
        <x:v>BTB-068</x:v>
      </x:c>
      <x:c r="B408" s="62" t="n">
        <x:v>46390</x:v>
      </x:c>
      <x:c r="C408" s="64" t="str">
        <x:v>P5</x:v>
      </x:c>
      <x:c r="D408" s="64" t="n">
        <x:v>5</x:v>
      </x:c>
      <x:c r="E408" s="29" t="str">
        <x:v>Work to a clear stopping point, then check what you deliberately set aside. Make the plan fit your responsibilities.</x:v>
      </x:c>
      <x:c r="F408" s="29" t="str">
        <x:v>Slide 5 of 6. Work to a clear stopping point, then check what you deliberately set aside. Make the plan fit your responsibilities.</x:v>
      </x:c>
      <x:c r="G408" s="29" t="str">
        <x:v>checklist</x:v>
      </x:c>
      <x:c r="H408" s="29" t="str">
        <x:v>Draft — owner review</x:v>
      </x:c>
    </x:row>
    <x:row r="409" ht="84" customHeight="1">
      <x:c r="A409" s="29" t="str">
        <x:v>BTB-068</x:v>
      </x:c>
      <x:c r="B409" s="62" t="n">
        <x:v>46390</x:v>
      </x:c>
      <x:c r="C409" s="64" t="str">
        <x:v>P5</x:v>
      </x:c>
      <x:c r="D409" s="64" t="n">
        <x:v>6</x:v>
      </x:c>
      <x:c r="E409" s="29" t="str">
        <x:v>Save this when a simple task has become an entire afternoon of interruptions.</x:v>
      </x:c>
      <x:c r="F409" s="29" t="str">
        <x:v>Slide 6 of 6. Save this when a simple task has become an entire afternoon of interruptions.</x:v>
      </x:c>
      <x:c r="G409" s="29" t="str">
        <x:v>checklist</x:v>
      </x:c>
      <x:c r="H409" s="29" t="str">
        <x:v>Draft — owner review</x:v>
      </x:c>
    </x:row>
    <x:row r="410" ht="84" customHeight="1">
      <x:c r="A410" s="29" t="str">
        <x:v>BTB-069</x:v>
      </x:c>
      <x:c r="B410" s="62" t="n">
        <x:v>46391</x:v>
      </x:c>
      <x:c r="C410" s="64" t="str">
        <x:v>P3</x:v>
      </x:c>
      <x:c r="D410" s="64" t="n">
        <x:v>1</x:v>
      </x:c>
      <x:c r="E410" s="29" t="str">
        <x:v>Your child can miss the other parent while being happy with you.</x:v>
      </x:c>
      <x:c r="F410" s="29" t="str">
        <x:v>Slide 1 of 6. Your child can miss the other parent while being happy with you.</x:v>
      </x:c>
      <x:c r="G410" s="29" t="str">
        <x:v>editorial</x:v>
      </x:c>
      <x:c r="H410" s="29" t="str">
        <x:v>Draft — owner review</x:v>
      </x:c>
    </x:row>
    <x:row r="411" ht="84" customHeight="1">
      <x:c r="A411" s="29" t="str">
        <x:v>BTB-069</x:v>
      </x:c>
      <x:c r="B411" s="62" t="n">
        <x:v>46391</x:v>
      </x:c>
      <x:c r="C411" s="64" t="str">
        <x:v>P3</x:v>
      </x:c>
      <x:c r="D411" s="64" t="n">
        <x:v>2</x:v>
      </x:c>
      <x:c r="E411" s="29" t="str">
        <x:v>You do not need to treat that feeling as a review of your care.</x:v>
      </x:c>
      <x:c r="F411" s="29" t="str">
        <x:v>Slide 2 of 6. You do not need to treat that feeling as a review of your care.</x:v>
      </x:c>
      <x:c r="G411" s="29" t="str">
        <x:v>editorial</x:v>
      </x:c>
      <x:c r="H411" s="29" t="str">
        <x:v>Draft — owner review</x:v>
      </x:c>
    </x:row>
    <x:row r="412" ht="84" customHeight="1">
      <x:c r="A412" s="29" t="str">
        <x:v>BTB-069</x:v>
      </x:c>
      <x:c r="B412" s="62" t="n">
        <x:v>46391</x:v>
      </x:c>
      <x:c r="C412" s="64" t="str">
        <x:v>P3</x:v>
      </x:c>
      <x:c r="D412" s="64" t="n">
        <x:v>3</x:v>
      </x:c>
      <x:c r="E412" s="29" t="str">
        <x:v>Try acknowledging it without asking for reassurance: “You miss them. I hear you.”</x:v>
      </x:c>
      <x:c r="F412" s="29" t="str">
        <x:v>Slide 3 of 6. Try acknowledging it without asking for reassurance: “You miss them. I hear you.”</x:v>
      </x:c>
      <x:c r="G412" s="29" t="str">
        <x:v>editorial</x:v>
      </x:c>
      <x:c r="H412" s="29" t="str">
        <x:v>Draft — owner review</x:v>
      </x:c>
    </x:row>
    <x:row r="413" ht="84" customHeight="1">
      <x:c r="A413" s="29" t="str">
        <x:v>BTB-069</x:v>
      </x:c>
      <x:c r="B413" s="62" t="n">
        <x:v>46391</x:v>
      </x:c>
      <x:c r="C413" s="64" t="str">
        <x:v>P3</x:v>
      </x:c>
      <x:c r="D413" s="64" t="n">
        <x:v>4</x:v>
      </x:c>
      <x:c r="E413" s="29" t="str">
        <x:v>Follow the contact arrangements that apply. Offer ordinary company without competing with the feeling.</x:v>
      </x:c>
      <x:c r="F413" s="29" t="str">
        <x:v>Slide 4 of 6. Follow the contact arrangements that apply. Offer ordinary company without competing with the feeling.</x:v>
      </x:c>
      <x:c r="G413" s="29" t="str">
        <x:v>editorial</x:v>
      </x:c>
      <x:c r="H413" s="29" t="str">
        <x:v>Draft — owner review</x:v>
      </x:c>
    </x:row>
    <x:row r="414" ht="84" customHeight="1">
      <x:c r="A414" s="29" t="str">
        <x:v>BTB-069</x:v>
      </x:c>
      <x:c r="B414" s="62" t="n">
        <x:v>46391</x:v>
      </x:c>
      <x:c r="C414" s="64" t="str">
        <x:v>P3</x:v>
      </x:c>
      <x:c r="D414" s="64" t="n">
        <x:v>5</x:v>
      </x:c>
      <x:c r="E414" s="29" t="str">
        <x:v>Keep your own hurt in an adult conversation, and seek qualified guidance when circumstances are difficult or unsafe.</x:v>
      </x:c>
      <x:c r="F414" s="29" t="str">
        <x:v>Slide 5 of 6. Keep your own hurt in an adult conversation, and seek qualified guidance when circumstances are difficult or unsafe.</x:v>
      </x:c>
      <x:c r="G414" s="29" t="str">
        <x:v>editorial</x:v>
      </x:c>
      <x:c r="H414" s="29" t="str">
        <x:v>Draft — owner review</x:v>
      </x:c>
    </x:row>
    <x:row r="415" ht="84" customHeight="1">
      <x:c r="A415" s="29" t="str">
        <x:v>BTB-069</x:v>
      </x:c>
      <x:c r="B415" s="62" t="n">
        <x:v>46391</x:v>
      </x:c>
      <x:c r="C415" s="64" t="str">
        <x:v>P3</x:v>
      </x:c>
      <x:c r="D415" s="64" t="n">
        <x:v>6</x:v>
      </x:c>
      <x:c r="E415" s="29" t="str">
        <x:v>Share this with a parent learning not to make a child's feelings choose sides.</x:v>
      </x:c>
      <x:c r="F415" s="29" t="str">
        <x:v>Slide 6 of 6. Share this with a parent learning not to make a child's feelings choose sides.</x:v>
      </x:c>
      <x:c r="G415" s="29" t="str">
        <x:v>editorial</x:v>
      </x:c>
      <x:c r="H415" s="29" t="str">
        <x:v>Draft — owner review</x:v>
      </x:c>
    </x:row>
    <x:row r="416" ht="84" customHeight="1">
      <x:c r="A416" s="29" t="str">
        <x:v>BTB-070</x:v>
      </x:c>
      <x:c r="B416" s="62" t="n">
        <x:v>46392</x:v>
      </x:c>
      <x:c r="C416" s="64" t="str">
        <x:v>P4</x:v>
      </x:c>
      <x:c r="D416" s="64" t="n">
        <x:v>1</x:v>
      </x:c>
      <x:c r="E416" s="29" t="str">
        <x:v>Forgiveness, trust, and renewed access are separate questions.</x:v>
      </x:c>
      <x:c r="F416" s="29" t="str">
        <x:v>Slide 1 of 6. Forgiveness, trust, and renewed access are separate questions.</x:v>
      </x:c>
      <x:c r="G416" s="29" t="str">
        <x:v>contrast</x:v>
      </x:c>
      <x:c r="H416" s="29" t="str">
        <x:v>Draft — owner review</x:v>
      </x:c>
    </x:row>
    <x:row r="417" ht="84" customHeight="1">
      <x:c r="A417" s="29" t="str">
        <x:v>BTB-070</x:v>
      </x:c>
      <x:c r="B417" s="62" t="n">
        <x:v>46392</x:v>
      </x:c>
      <x:c r="C417" s="64" t="str">
        <x:v>P4</x:v>
      </x:c>
      <x:c r="D417" s="64" t="n">
        <x:v>2</x:v>
      </x:c>
      <x:c r="E417" s="29" t="str">
        <x:v>You do not have to make all three decisions at the same time, or describe your choice using someone else's language.</x:v>
      </x:c>
      <x:c r="F417" s="29" t="str">
        <x:v>Slide 2 of 6. You do not have to make all three decisions at the same time, or describe your choice using someone else's language.</x:v>
      </x:c>
      <x:c r="G417" s="29" t="str">
        <x:v>contrast</x:v>
      </x:c>
      <x:c r="H417" s="29" t="str">
        <x:v>Draft — owner review</x:v>
      </x:c>
    </x:row>
    <x:row r="418" ht="84" customHeight="1">
      <x:c r="A418" s="29" t="str">
        <x:v>BTB-070</x:v>
      </x:c>
      <x:c r="B418" s="62" t="n">
        <x:v>46392</x:v>
      </x:c>
      <x:c r="C418" s="64" t="str">
        <x:v>P4</x:v>
      </x:c>
      <x:c r="D418" s="64" t="n">
        <x:v>3</x:v>
      </x:c>
      <x:c r="E418" s="29" t="str">
        <x:v>Ask what you are actually considering: changing how you carry the experience, relying on someone again, or restarting contact.</x:v>
      </x:c>
      <x:c r="F418" s="29" t="str">
        <x:v>Slide 3 of 6. Ask what you are actually considering: changing how you carry the experience, relying on someone again, or restarting contact.</x:v>
      </x:c>
      <x:c r="G418" s="29" t="str">
        <x:v>contrast</x:v>
      </x:c>
      <x:c r="H418" s="29" t="str">
        <x:v>Draft — owner review</x:v>
      </x:c>
    </x:row>
    <x:row r="419" ht="84" customHeight="1">
      <x:c r="A419" s="29" t="str">
        <x:v>BTB-070</x:v>
      </x:c>
      <x:c r="B419" s="62" t="n">
        <x:v>46392</x:v>
      </x:c>
      <x:c r="C419" s="64" t="str">
        <x:v>P4</x:v>
      </x:c>
      <x:c r="D419" s="64" t="n">
        <x:v>4</x:v>
      </x:c>
      <x:c r="E419" s="29" t="str">
        <x:v>Each decision needs its own information and boundaries. Required communication and safety arrangements must still be respected.</x:v>
      </x:c>
      <x:c r="F419" s="29" t="str">
        <x:v>Slide 4 of 6. Each decision needs its own information and boundaries. Required communication and safety arrangements must still be respected.</x:v>
      </x:c>
      <x:c r="G419" s="29" t="str">
        <x:v>contrast</x:v>
      </x:c>
      <x:c r="H419" s="29" t="str">
        <x:v>Draft — owner review</x:v>
      </x:c>
    </x:row>
    <x:row r="420" ht="84" customHeight="1">
      <x:c r="A420" s="29" t="str">
        <x:v>BTB-070</x:v>
      </x:c>
      <x:c r="B420" s="62" t="n">
        <x:v>46392</x:v>
      </x:c>
      <x:c r="C420" s="64" t="str">
        <x:v>P4</x:v>
      </x:c>
      <x:c r="D420" s="64" t="n">
        <x:v>5</x:v>
      </x:c>
      <x:c r="E420" s="29" t="str">
        <x:v>There is no obligation to reconcile with someone who has harmed you.</x:v>
      </x:c>
      <x:c r="F420" s="29" t="str">
        <x:v>Slide 5 of 6. There is no obligation to reconcile with someone who has harmed you.</x:v>
      </x:c>
      <x:c r="G420" s="29" t="str">
        <x:v>contrast</x:v>
      </x:c>
      <x:c r="H420" s="29" t="str">
        <x:v>Draft — owner review</x:v>
      </x:c>
    </x:row>
    <x:row r="421" ht="84" customHeight="1">
      <x:c r="A421" s="29" t="str">
        <x:v>BTB-070</x:v>
      </x:c>
      <x:c r="B421" s="62" t="n">
        <x:v>46392</x:v>
      </x:c>
      <x:c r="C421" s="64" t="str">
        <x:v>P4</x:v>
      </x:c>
      <x:c r="D421" s="64" t="n">
        <x:v>6</x:v>
      </x:c>
      <x:c r="E421" s="29" t="str">
        <x:v>Save this distinction when “forgive” is being used to rush a much larger decision.</x:v>
      </x:c>
      <x:c r="F421" s="29" t="str">
        <x:v>Slide 6 of 6. Save this distinction when “forgive” is being used to rush a much larger decision.</x:v>
      </x:c>
      <x:c r="G421" s="29" t="str">
        <x:v>contrast</x:v>
      </x:c>
      <x:c r="H421" s="29" t="str">
        <x:v>Draft — owner review</x:v>
      </x:c>
    </x:row>
    <x:row r="422" ht="84" customHeight="1">
      <x:c r="A422" s="29" t="str">
        <x:v>BTB-071</x:v>
      </x:c>
      <x:c r="B422" s="62" t="n">
        <x:v>46393</x:v>
      </x:c>
      <x:c r="C422" s="64" t="str">
        <x:v>P1</x:v>
      </x:c>
      <x:c r="D422" s="64" t="n">
        <x:v>1</x:v>
      </x:c>
      <x:c r="E422" s="29" t="str">
        <x:v>You can miss the person you were before everything became complicated.</x:v>
      </x:c>
      <x:c r="F422" s="29" t="str">
        <x:v>Slide 1 of 6. You can miss the person you were before everything became complicated.</x:v>
      </x:c>
      <x:c r="G422" s="29" t="str">
        <x:v>editorial</x:v>
      </x:c>
      <x:c r="H422" s="29" t="str">
        <x:v>Draft — owner review</x:v>
      </x:c>
    </x:row>
    <x:row r="423" ht="84" customHeight="1">
      <x:c r="A423" s="29" t="str">
        <x:v>BTB-071</x:v>
      </x:c>
      <x:c r="B423" s="62" t="n">
        <x:v>46393</x:v>
      </x:c>
      <x:c r="C423" s="64" t="str">
        <x:v>P1</x:v>
      </x:c>
      <x:c r="D423" s="64" t="n">
        <x:v>2</x:v>
      </x:c>
      <x:c r="E423" s="29" t="str">
        <x:v>The version who made plans without calculating every practical consequence. The version who had more room to be spontaneous.</x:v>
      </x:c>
      <x:c r="F423" s="29" t="str">
        <x:v>Slide 2 of 6. The version who made plans without calculating every practical consequence. The version who had more room to be spontaneous.</x:v>
      </x:c>
      <x:c r="G423" s="29" t="str">
        <x:v>editorial</x:v>
      </x:c>
      <x:c r="H423" s="29" t="str">
        <x:v>Draft — owner review</x:v>
      </x:c>
    </x:row>
    <x:row r="424" ht="84" customHeight="1">
      <x:c r="A424" s="29" t="str">
        <x:v>BTB-071</x:v>
      </x:c>
      <x:c r="B424" s="62" t="n">
        <x:v>46393</x:v>
      </x:c>
      <x:c r="C424" s="64" t="str">
        <x:v>P1</x:v>
      </x:c>
      <x:c r="D424" s="64" t="n">
        <x:v>3</x:v>
      </x:c>
      <x:c r="E424" s="29" t="str">
        <x:v>You may not be able to recreate that season. You can still ask which parts of it mattered to you.</x:v>
      </x:c>
      <x:c r="F424" s="29" t="str">
        <x:v>Slide 3 of 6. You may not be able to recreate that season. You can still ask which parts of it mattered to you.</x:v>
      </x:c>
      <x:c r="G424" s="29" t="str">
        <x:v>editorial</x:v>
      </x:c>
      <x:c r="H424" s="29" t="str">
        <x:v>Draft — owner review</x:v>
      </x:c>
    </x:row>
    <x:row r="425" ht="84" customHeight="1">
      <x:c r="A425" s="29" t="str">
        <x:v>BTB-071</x:v>
      </x:c>
      <x:c r="B425" s="62" t="n">
        <x:v>46393</x:v>
      </x:c>
      <x:c r="C425" s="64" t="str">
        <x:v>P1</x:v>
      </x:c>
      <x:c r="D425" s="64" t="n">
        <x:v>4</x:v>
      </x:c>
      <x:c r="E425" s="29" t="str">
        <x:v>Was it curiosity, connection, confidence, play, or time for yourself?</x:v>
      </x:c>
      <x:c r="F425" s="29" t="str">
        <x:v>Slide 4 of 6. Was it curiosity, connection, confidence, play, or time for yourself?</x:v>
      </x:c>
      <x:c r="G425" s="29" t="str">
        <x:v>editorial</x:v>
      </x:c>
      <x:c r="H425" s="29" t="str">
        <x:v>Draft — owner review</x:v>
      </x:c>
    </x:row>
    <x:row r="426" ht="84" customHeight="1">
      <x:c r="A426" s="29" t="str">
        <x:v>BTB-071</x:v>
      </x:c>
      <x:c r="B426" s="62" t="n">
        <x:v>46393</x:v>
      </x:c>
      <x:c r="C426" s="64" t="str">
        <x:v>P1</x:v>
      </x:c>
      <x:c r="D426" s="64" t="n">
        <x:v>5</x:v>
      </x:c>
      <x:c r="E426" s="29" t="str">
        <x:v>Choose a modest way to make room for that quality now, within your real circumstances.</x:v>
      </x:c>
      <x:c r="F426" s="29" t="str">
        <x:v>Slide 5 of 6. Choose a modest way to make room for that quality now, within your real circumstances.</x:v>
      </x:c>
      <x:c r="G426" s="29" t="str">
        <x:v>editorial</x:v>
      </x:c>
      <x:c r="H426" s="29" t="str">
        <x:v>Draft — owner review</x:v>
      </x:c>
    </x:row>
    <x:row r="427" ht="84" customHeight="1">
      <x:c r="A427" s="29" t="str">
        <x:v>BTB-071</x:v>
      </x:c>
      <x:c r="B427" s="62" t="n">
        <x:v>46393</x:v>
      </x:c>
      <x:c r="C427" s="64" t="str">
        <x:v>P1</x:v>
      </x:c>
      <x:c r="D427" s="64" t="n">
        <x:v>6</x:v>
      </x:c>
      <x:c r="E427" s="29" t="str">
        <x:v>Send this to someone who is grieving a version of themselves as well as a relationship.</x:v>
      </x:c>
      <x:c r="F427" s="29" t="str">
        <x:v>Slide 6 of 6. Send this to someone who is grieving a version of themselves as well as a relationship.</x:v>
      </x:c>
      <x:c r="G427" s="29" t="str">
        <x:v>editorial</x:v>
      </x:c>
      <x:c r="H427" s="29" t="str">
        <x:v>Draft — owner review</x:v>
      </x:c>
    </x:row>
    <x:row r="428" ht="84" customHeight="1">
      <x:c r="A428" s="29" t="str">
        <x:v>BTB-072</x:v>
      </x:c>
      <x:c r="B428" s="62" t="n">
        <x:v>46394</x:v>
      </x:c>
      <x:c r="C428" s="64" t="str">
        <x:v>P2</x:v>
      </x:c>
      <x:c r="D428" s="64" t="n">
        <x:v>1</x:v>
      </x:c>
      <x:c r="E428" s="29" t="str">
        <x:v>Not every difficult thought needs an answer tonight.</x:v>
      </x:c>
      <x:c r="F428" s="29" t="str">
        <x:v>Slide 1 of 6. Not every difficult thought needs an answer tonight.</x:v>
      </x:c>
      <x:c r="G428" s="29" t="str">
        <x:v>checklist</x:v>
      </x:c>
      <x:c r="H428" s="29" t="str">
        <x:v>Draft — owner review</x:v>
      </x:c>
    </x:row>
    <x:row r="429" ht="84" customHeight="1">
      <x:c r="A429" s="29" t="str">
        <x:v>BTB-072</x:v>
      </x:c>
      <x:c r="B429" s="62" t="n">
        <x:v>46394</x:v>
      </x:c>
      <x:c r="C429" s="64" t="str">
        <x:v>P2</x:v>
      </x:c>
      <x:c r="D429" s="64" t="n">
        <x:v>2</x:v>
      </x:c>
      <x:c r="E429" s="29" t="str">
        <x:v>Some questions need information that is not available in the middle of the night.</x:v>
      </x:c>
      <x:c r="F429" s="29" t="str">
        <x:v>Slide 2 of 6. Some questions need information that is not available in the middle of the night.</x:v>
      </x:c>
      <x:c r="G429" s="29" t="str">
        <x:v>checklist</x:v>
      </x:c>
      <x:c r="H429" s="29" t="str">
        <x:v>Draft — owner review</x:v>
      </x:c>
    </x:row>
    <x:row r="430" ht="84" customHeight="1">
      <x:c r="A430" s="29" t="str">
        <x:v>BTB-072</x:v>
      </x:c>
      <x:c r="B430" s="62" t="n">
        <x:v>46394</x:v>
      </x:c>
      <x:c r="C430" s="64" t="str">
        <x:v>P2</x:v>
      </x:c>
      <x:c r="D430" s="64" t="n">
        <x:v>3</x:v>
      </x:c>
      <x:c r="E430" s="29" t="str">
        <x:v>Write the question and the next sensible action: ask, check, decide, or discuss with someone qualified.</x:v>
      </x:c>
      <x:c r="F430" s="29" t="str">
        <x:v>Slide 3 of 6. Write the question and the next sensible action: ask, check, decide, or discuss with someone qualified.</x:v>
      </x:c>
      <x:c r="G430" s="29" t="str">
        <x:v>checklist</x:v>
      </x:c>
      <x:c r="H430" s="29" t="str">
        <x:v>Draft — owner review</x:v>
      </x:c>
    </x:row>
    <x:row r="431" ht="84" customHeight="1">
      <x:c r="A431" s="29" t="str">
        <x:v>BTB-072</x:v>
      </x:c>
      <x:c r="B431" s="62" t="n">
        <x:v>46394</x:v>
      </x:c>
      <x:c r="C431" s="64" t="str">
        <x:v>P2</x:v>
      </x:c>
      <x:c r="D431" s="64" t="n">
        <x:v>4</x:v>
      </x:c>
      <x:c r="E431" s="29" t="str">
        <x:v>Put a realistic time beside the action. Do not postpone a genuinely urgent safety matter.</x:v>
      </x:c>
      <x:c r="F431" s="29" t="str">
        <x:v>Slide 4 of 6. Put a realistic time beside the action. Do not postpone a genuinely urgent safety matter.</x:v>
      </x:c>
      <x:c r="G431" s="29" t="str">
        <x:v>checklist</x:v>
      </x:c>
      <x:c r="H431" s="29" t="str">
        <x:v>Draft — owner review</x:v>
      </x:c>
    </x:row>
    <x:row r="432" ht="84" customHeight="1">
      <x:c r="A432" s="29" t="str">
        <x:v>BTB-072</x:v>
      </x:c>
      <x:c r="B432" s="62" t="n">
        <x:v>46394</x:v>
      </x:c>
      <x:c r="C432" s="64" t="str">
        <x:v>P2</x:v>
      </x:c>
      <x:c r="D432" s="64" t="n">
        <x:v>5</x:v>
      </x:c>
      <x:c r="E432" s="29" t="str">
        <x:v>If nighttime distress or sleep problems persist, seek professional support rather than expecting this note to solve them.</x:v>
      </x:c>
      <x:c r="F432" s="29" t="str">
        <x:v>Slide 5 of 6. If nighttime distress or sleep problems persist, seek professional support rather than expecting this note to solve them.</x:v>
      </x:c>
      <x:c r="G432" s="29" t="str">
        <x:v>checklist</x:v>
      </x:c>
      <x:c r="H432" s="29" t="str">
        <x:v>Draft — owner review</x:v>
      </x:c>
    </x:row>
    <x:row r="433" ht="84" customHeight="1">
      <x:c r="A433" s="29" t="str">
        <x:v>BTB-072</x:v>
      </x:c>
      <x:c r="B433" s="62" t="n">
        <x:v>46394</x:v>
      </x:c>
      <x:c r="C433" s="64" t="str">
        <x:v>P2</x:v>
      </x:c>
      <x:c r="D433" s="64" t="n">
        <x:v>6</x:v>
      </x:c>
      <x:c r="E433" s="29" t="str">
        <x:v>Save this for a question that keeps asking you for an answer you cannot yet have.</x:v>
      </x:c>
      <x:c r="F433" s="29" t="str">
        <x:v>Slide 6 of 6. Save this for a question that keeps asking you for an answer you cannot yet have.</x:v>
      </x:c>
      <x:c r="G433" s="29" t="str">
        <x:v>checklist</x:v>
      </x:c>
      <x:c r="H433" s="29" t="str">
        <x:v>Draft — owner review</x:v>
      </x:c>
    </x:row>
    <x:row r="434" ht="84" customHeight="1">
      <x:c r="A434" s="29" t="str">
        <x:v>BTB-073</x:v>
      </x:c>
      <x:c r="B434" s="62" t="n">
        <x:v>46395</x:v>
      </x:c>
      <x:c r="C434" s="64" t="str">
        <x:v>P5</x:v>
      </x:c>
      <x:c r="D434" s="64" t="n">
        <x:v>1</x:v>
      </x:c>
      <x:c r="E434" s="29" t="str">
        <x:v>You can lower the cost of a plan without lowering its meaning.</x:v>
      </x:c>
      <x:c r="F434" s="29" t="str">
        <x:v>Slide 1 of 6. You can lower the cost of a plan without lowering its meaning.</x:v>
      </x:c>
      <x:c r="G434" s="29" t="str">
        <x:v>contrast</x:v>
      </x:c>
      <x:c r="H434" s="29" t="str">
        <x:v>Draft — owner review</x:v>
      </x:c>
    </x:row>
    <x:row r="435" ht="84" customHeight="1">
      <x:c r="A435" s="29" t="str">
        <x:v>BTB-073</x:v>
      </x:c>
      <x:c r="B435" s="62" t="n">
        <x:v>46395</x:v>
      </x:c>
      <x:c r="C435" s="64" t="str">
        <x:v>P5</x:v>
      </x:c>
      <x:c r="D435" s="64" t="n">
        <x:v>2</x:v>
      </x:c>
      <x:c r="E435" s="29" t="str">
        <x:v>A difficult financial season can turn social invitations into another source of pressure.</x:v>
      </x:c>
      <x:c r="F435" s="29" t="str">
        <x:v>Slide 2 of 6. A difficult financial season can turn social invitations into another source of pressure.</x:v>
      </x:c>
      <x:c r="G435" s="29" t="str">
        <x:v>contrast</x:v>
      </x:c>
      <x:c r="H435" s="29" t="str">
        <x:v>Draft — owner review</x:v>
      </x:c>
    </x:row>
    <x:row r="436" ht="84" customHeight="1">
      <x:c r="A436" s="29" t="str">
        <x:v>BTB-073</x:v>
      </x:c>
      <x:c r="B436" s="62" t="n">
        <x:v>46395</x:v>
      </x:c>
      <x:c r="C436" s="64" t="str">
        <x:v>P5</x:v>
      </x:c>
      <x:c r="D436" s="64" t="n">
        <x:v>3</x:v>
      </x:c>
      <x:c r="E436" s="29" t="str">
        <x:v>Suggest something within your resources: a walk, a simple meal at home, or a free local activity.</x:v>
      </x:c>
      <x:c r="F436" s="29" t="str">
        <x:v>Slide 3 of 6. Suggest something within your resources: a walk, a simple meal at home, or a free local activity.</x:v>
      </x:c>
      <x:c r="G436" s="29" t="str">
        <x:v>contrast</x:v>
      </x:c>
      <x:c r="H436" s="29" t="str">
        <x:v>Draft — owner review</x:v>
      </x:c>
    </x:row>
    <x:row r="437" ht="84" customHeight="1">
      <x:c r="A437" s="29" t="str">
        <x:v>BTB-073</x:v>
      </x:c>
      <x:c r="B437" s="62" t="n">
        <x:v>46395</x:v>
      </x:c>
      <x:c r="C437" s="64" t="str">
        <x:v>P5</x:v>
      </x:c>
      <x:c r="D437" s="64" t="n">
        <x:v>4</x:v>
      </x:c>
      <x:c r="E437" s="29" t="str">
        <x:v>Be direct: “I'd like to see you. I'm keeping spending limited, so could we do something simpler?”</x:v>
      </x:c>
      <x:c r="F437" s="29" t="str">
        <x:v>Slide 4 of 6. Be direct: “I'd like to see you. I'm keeping spending limited, so could we do something simpler?”</x:v>
      </x:c>
      <x:c r="G437" s="29" t="str">
        <x:v>contrast</x:v>
      </x:c>
      <x:c r="H437" s="29" t="str">
        <x:v>Draft — owner review</x:v>
      </x:c>
    </x:row>
    <x:row r="438" ht="84" customHeight="1">
      <x:c r="A438" s="29" t="str">
        <x:v>BTB-073</x:v>
      </x:c>
      <x:c r="B438" s="62" t="n">
        <x:v>46395</x:v>
      </x:c>
      <x:c r="C438" s="64" t="str">
        <x:v>P5</x:v>
      </x:c>
      <x:c r="D438" s="64" t="n">
        <x:v>5</x:v>
      </x:c>
      <x:c r="E438" s="29" t="str">
        <x:v>You do not need to disclose your balances or invent an excuse to propose an affordable option.</x:v>
      </x:c>
      <x:c r="F438" s="29" t="str">
        <x:v>Slide 5 of 6. You do not need to disclose your balances or invent an excuse to propose an affordable option.</x:v>
      </x:c>
      <x:c r="G438" s="29" t="str">
        <x:v>contrast</x:v>
      </x:c>
      <x:c r="H438" s="29" t="str">
        <x:v>Draft — owner review</x:v>
      </x:c>
    </x:row>
    <x:row r="439" ht="84" customHeight="1">
      <x:c r="A439" s="29" t="str">
        <x:v>BTB-073</x:v>
      </x:c>
      <x:c r="B439" s="62" t="n">
        <x:v>46395</x:v>
      </x:c>
      <x:c r="C439" s="64" t="str">
        <x:v>P5</x:v>
      </x:c>
      <x:c r="D439" s="64" t="n">
        <x:v>6</x:v>
      </x:c>
      <x:c r="E439" s="29" t="str">
        <x:v>Save the sentence for a plan you would like to keep without stretching your budget.</x:v>
      </x:c>
      <x:c r="F439" s="29" t="str">
        <x:v>Slide 6 of 6. Save the sentence for a plan you would like to keep without stretching your budget.</x:v>
      </x:c>
      <x:c r="G439" s="29" t="str">
        <x:v>contrast</x:v>
      </x:c>
      <x:c r="H439" s="29" t="str">
        <x:v>Draft — owner review</x:v>
      </x:c>
    </x:row>
    <x:row r="440" ht="84" customHeight="1">
      <x:c r="A440" s="29" t="str">
        <x:v>BTB-074</x:v>
      </x:c>
      <x:c r="B440" s="62" t="n">
        <x:v>46396</x:v>
      </x:c>
      <x:c r="C440" s="64" t="str">
        <x:v>P6</x:v>
      </x:c>
      <x:c r="D440" s="64" t="n">
        <x:v>1</x:v>
      </x:c>
      <x:c r="E440" s="29" t="str">
        <x:v>Parenting did not pause while I was trying to rebuild.</x:v>
      </x:c>
      <x:c r="F440" s="29" t="str">
        <x:v>Slide 1 of 6. Parenting did not pause while I was trying to rebuild.</x:v>
      </x:c>
      <x:c r="G440" s="29" t="str">
        <x:v>letter</x:v>
      </x:c>
      <x:c r="H440" s="29" t="str">
        <x:v>Draft — owner review</x:v>
      </x:c>
    </x:row>
    <x:row r="441" ht="84" customHeight="1">
      <x:c r="A441" s="29" t="str">
        <x:v>BTB-074</x:v>
      </x:c>
      <x:c r="B441" s="62" t="n">
        <x:v>46396</x:v>
      </x:c>
      <x:c r="C441" s="64" t="str">
        <x:v>P6</x:v>
      </x:c>
      <x:c r="D441" s="64" t="n">
        <x:v>2</x:v>
      </x:c>
      <x:c r="E441" s="29" t="str">
        <x:v>That overlap is part of the experience behind this page: adult uncertainty alongside ordinary responsibilities for children.</x:v>
      </x:c>
      <x:c r="F441" s="29" t="str">
        <x:v>Slide 2 of 6. That overlap is part of the experience behind this page: adult uncertainty alongside ordinary responsibilities for children.</x:v>
      </x:c>
      <x:c r="G441" s="29" t="str">
        <x:v>letter</x:v>
      </x:c>
      <x:c r="H441" s="29" t="str">
        <x:v>Draft — owner review</x:v>
      </x:c>
    </x:row>
    <x:row r="442" ht="84" customHeight="1">
      <x:c r="A442" s="29" t="str">
        <x:v>BTB-074</x:v>
      </x:c>
      <x:c r="B442" s="62" t="n">
        <x:v>46396</x:v>
      </x:c>
      <x:c r="C442" s="64" t="str">
        <x:v>P6</x:v>
      </x:c>
      <x:c r="D442" s="64" t="n">
        <x:v>3</x:v>
      </x:c>
      <x:c r="E442" s="29" t="str">
        <x:v>I will not use their names, private words, or difficult moments to make my story more convincing.</x:v>
      </x:c>
      <x:c r="F442" s="29" t="str">
        <x:v>Slide 3 of 6. I will not use their names, private words, or difficult moments to make my story more convincing.</x:v>
      </x:c>
      <x:c r="G442" s="29" t="str">
        <x:v>letter</x:v>
      </x:c>
      <x:c r="H442" s="29" t="str">
        <x:v>Draft — owner review</x:v>
      </x:c>
    </x:row>
    <x:row r="443" ht="84" customHeight="1">
      <x:c r="A443" s="29" t="str">
        <x:v>BTB-074</x:v>
      </x:c>
      <x:c r="B443" s="62" t="n">
        <x:v>46396</x:v>
      </x:c>
      <x:c r="C443" s="64" t="str">
        <x:v>P6</x:v>
      </x:c>
      <x:c r="D443" s="64" t="n">
        <x:v>4</x:v>
      </x:c>
      <x:c r="E443" s="29" t="str">
        <x:v>Instead, the content will explore adult choices: preparation, clearer communication, accountability, and where to seek support.</x:v>
      </x:c>
      <x:c r="F443" s="29" t="str">
        <x:v>Slide 4 of 6. Instead, the content will explore adult choices: preparation, clearer communication, accountability, and where to seek support.</x:v>
      </x:c>
      <x:c r="G443" s="29" t="str">
        <x:v>letter</x:v>
      </x:c>
      <x:c r="H443" s="29" t="str">
        <x:v>Draft — owner review</x:v>
      </x:c>
    </x:row>
    <x:row r="444" ht="84" customHeight="1">
      <x:c r="A444" s="29" t="str">
        <x:v>BTB-074</x:v>
      </x:c>
      <x:c r="B444" s="62" t="n">
        <x:v>46396</x:v>
      </x:c>
      <x:c r="C444" s="64" t="str">
        <x:v>P6</x:v>
      </x:c>
      <x:c r="D444" s="64" t="n">
        <x:v>5</x:v>
      </x:c>
      <x:c r="E444" s="29" t="str">
        <x:v>These are things to reflect on, not proof that I have handled every moment perfectly.</x:v>
      </x:c>
      <x:c r="F444" s="29" t="str">
        <x:v>Slide 5 of 6. These are things to reflect on, not proof that I have handled every moment perfectly.</x:v>
      </x:c>
      <x:c r="G444" s="29" t="str">
        <x:v>letter</x:v>
      </x:c>
      <x:c r="H444" s="29" t="str">
        <x:v>Draft — owner review</x:v>
      </x:c>
    </x:row>
    <x:row r="445" ht="84" customHeight="1">
      <x:c r="A445" s="29" t="str">
        <x:v>BTB-074</x:v>
      </x:c>
      <x:c r="B445" s="62" t="n">
        <x:v>46396</x:v>
      </x:c>
      <x:c r="C445" s="64" t="str">
        <x:v>P6</x:v>
      </x:c>
      <x:c r="D445" s="64" t="n">
        <x:v>6</x:v>
      </x:c>
      <x:c r="E445" s="29" t="str">
        <x:v>Follow for fatherhood content that protects children rather than making them the evidence.</x:v>
      </x:c>
      <x:c r="F445" s="29" t="str">
        <x:v>Slide 6 of 6. Follow for fatherhood content that protects children rather than making them the evidence.</x:v>
      </x:c>
      <x:c r="G445" s="29" t="str">
        <x:v>letter</x:v>
      </x:c>
      <x:c r="H445" s="29" t="str">
        <x:v>Draft — owner review</x:v>
      </x:c>
    </x:row>
    <x:row r="446" ht="84" customHeight="1">
      <x:c r="A446" s="29" t="str">
        <x:v>BTB-075</x:v>
      </x:c>
      <x:c r="B446" s="62" t="n">
        <x:v>46397</x:v>
      </x:c>
      <x:c r="C446" s="64" t="str">
        <x:v>P3</x:v>
      </x:c>
      <x:c r="D446" s="64" t="n">
        <x:v>1</x:v>
      </x:c>
      <x:c r="E446" s="29" t="str">
        <x:v>The school email needs an action owner, not a fresh argument.</x:v>
      </x:c>
      <x:c r="F446" s="29" t="str">
        <x:v>Slide 1 of 6. The school email needs an action owner, not a fresh argument.</x:v>
      </x:c>
      <x:c r="G446" s="29" t="str">
        <x:v>checklist</x:v>
      </x:c>
      <x:c r="H446" s="29" t="str">
        <x:v>Draft — owner review</x:v>
      </x:c>
    </x:row>
    <x:row r="447" ht="84" customHeight="1">
      <x:c r="A447" s="29" t="str">
        <x:v>BTB-075</x:v>
      </x:c>
      <x:c r="B447" s="62" t="n">
        <x:v>46397</x:v>
      </x:c>
      <x:c r="C447" s="64" t="str">
        <x:v>P3</x:v>
      </x:c>
      <x:c r="D447" s="64" t="n">
        <x:v>2</x:v>
      </x:c>
      <x:c r="E447" s="29" t="str">
        <x:v>A form, event, or permission request can get lost when everyone assumes someone else is handling it.</x:v>
      </x:c>
      <x:c r="F447" s="29" t="str">
        <x:v>Slide 2 of 6. A form, event, or permission request can get lost when everyone assumes someone else is handling it.</x:v>
      </x:c>
      <x:c r="G447" s="29" t="str">
        <x:v>checklist</x:v>
      </x:c>
      <x:c r="H447" s="29" t="str">
        <x:v>Draft — owner review</x:v>
      </x:c>
    </x:row>
    <x:row r="448" ht="84" customHeight="1">
      <x:c r="A448" s="29" t="str">
        <x:v>BTB-075</x:v>
      </x:c>
      <x:c r="B448" s="62" t="n">
        <x:v>46397</x:v>
      </x:c>
      <x:c r="C448" s="64" t="str">
        <x:v>P3</x:v>
      </x:c>
      <x:c r="D448" s="64" t="n">
        <x:v>3</x:v>
      </x:c>
      <x:c r="E448" s="29" t="str">
        <x:v>Identify the deadline, the decision needed, and who is responsible under the arrangements that apply.</x:v>
      </x:c>
      <x:c r="F448" s="29" t="str">
        <x:v>Slide 3 of 6. Identify the deadline, the decision needed, and who is responsible under the arrangements that apply.</x:v>
      </x:c>
      <x:c r="G448" s="29" t="str">
        <x:v>checklist</x:v>
      </x:c>
      <x:c r="H448" s="29" t="str">
        <x:v>Draft — owner review</x:v>
      </x:c>
    </x:row>
    <x:row r="449" ht="84" customHeight="1">
      <x:c r="A449" s="29" t="str">
        <x:v>BTB-075</x:v>
      </x:c>
      <x:c r="B449" s="62" t="n">
        <x:v>46397</x:v>
      </x:c>
      <x:c r="C449" s="64" t="str">
        <x:v>P3</x:v>
      </x:c>
      <x:c r="D449" s="64" t="n">
        <x:v>4</x:v>
      </x:c>
      <x:c r="E449" s="29" t="str">
        <x:v>Confirm practical details through the appropriate channel. Do not ask your child to negotiate between adults.</x:v>
      </x:c>
      <x:c r="F449" s="29" t="str">
        <x:v>Slide 4 of 6. Confirm practical details through the appropriate channel. Do not ask your child to negotiate between adults.</x:v>
      </x:c>
      <x:c r="G449" s="29" t="str">
        <x:v>checklist</x:v>
      </x:c>
      <x:c r="H449" s="29" t="str">
        <x:v>Draft — owner review</x:v>
      </x:c>
    </x:row>
    <x:row r="450" ht="84" customHeight="1">
      <x:c r="A450" s="29" t="str">
        <x:v>BTB-075</x:v>
      </x:c>
      <x:c r="B450" s="62" t="n">
        <x:v>46397</x:v>
      </x:c>
      <x:c r="C450" s="64" t="str">
        <x:v>P3</x:v>
      </x:c>
      <x:c r="D450" s="64" t="n">
        <x:v>5</x:v>
      </x:c>
      <x:c r="E450" s="29" t="str">
        <x:v>When decision-making is disputed or unclear, seek qualified guidance rather than making assumptions from a post.</x:v>
      </x:c>
      <x:c r="F450" s="29" t="str">
        <x:v>Slide 5 of 6. When decision-making is disputed or unclear, seek qualified guidance rather than making assumptions from a post.</x:v>
      </x:c>
      <x:c r="G450" s="29" t="str">
        <x:v>checklist</x:v>
      </x:c>
      <x:c r="H450" s="29" t="str">
        <x:v>Draft — owner review</x:v>
      </x:c>
    </x:row>
    <x:row r="451" ht="84" customHeight="1">
      <x:c r="A451" s="29" t="str">
        <x:v>BTB-075</x:v>
      </x:c>
      <x:c r="B451" s="62" t="n">
        <x:v>46397</x:v>
      </x:c>
      <x:c r="C451" s="64" t="str">
        <x:v>P3</x:v>
      </x:c>
      <x:c r="D451" s="64" t="n">
        <x:v>6</x:v>
      </x:c>
      <x:c r="E451" s="29" t="str">
        <x:v>Save this three-part check: deadline, decision, responsibility.</x:v>
      </x:c>
      <x:c r="F451" s="29" t="str">
        <x:v>Slide 6 of 6. Save this three-part check: deadline, decision, responsibility.</x:v>
      </x:c>
      <x:c r="G451" s="29" t="str">
        <x:v>checklist</x:v>
      </x:c>
      <x:c r="H451" s="29" t="str">
        <x:v>Draft — owner review</x:v>
      </x:c>
    </x:row>
    <x:row r="452" ht="84" customHeight="1">
      <x:c r="A452" s="29" t="str">
        <x:v>BTB-076</x:v>
      </x:c>
      <x:c r="B452" s="62" t="n">
        <x:v>46398</x:v>
      </x:c>
      <x:c r="C452" s="64" t="str">
        <x:v>P4</x:v>
      </x:c>
      <x:c r="D452" s="64" t="n">
        <x:v>1</x:v>
      </x:c>
      <x:c r="E452" s="29" t="str">
        <x:v>You can disagree without adding a character judgment.</x:v>
      </x:c>
      <x:c r="F452" s="29" t="str">
        <x:v>Slide 1 of 6. You can disagree without adding a character judgment.</x:v>
      </x:c>
      <x:c r="G452" s="29" t="str">
        <x:v>script</x:v>
      </x:c>
      <x:c r="H452" s="29" t="str">
        <x:v>Draft — owner review</x:v>
      </x:c>
    </x:row>
    <x:row r="453" ht="84" customHeight="1">
      <x:c r="A453" s="29" t="str">
        <x:v>BTB-076</x:v>
      </x:c>
      <x:c r="B453" s="62" t="n">
        <x:v>46398</x:v>
      </x:c>
      <x:c r="C453" s="64" t="str">
        <x:v>P4</x:v>
      </x:c>
      <x:c r="D453" s="64" t="n">
        <x:v>2</x:v>
      </x:c>
      <x:c r="E453" s="29" t="str">
        <x:v>“That plan doesn't work for me” identifies a problem. “You never care about anyone” makes a much larger accusation.</x:v>
      </x:c>
      <x:c r="F453" s="29" t="str">
        <x:v>Slide 2 of 6. “That plan doesn't work for me” identifies a problem. “You never care about anyone” makes a much larger accusation.</x:v>
      </x:c>
      <x:c r="G453" s="29" t="str">
        <x:v>script</x:v>
      </x:c>
      <x:c r="H453" s="29" t="str">
        <x:v>Draft — owner review</x:v>
      </x:c>
    </x:row>
    <x:row r="454" ht="84" customHeight="1">
      <x:c r="A454" s="29" t="str">
        <x:v>BTB-076</x:v>
      </x:c>
      <x:c r="B454" s="62" t="n">
        <x:v>46398</x:v>
      </x:c>
      <x:c r="C454" s="64" t="str">
        <x:v>P4</x:v>
      </x:c>
      <x:c r="D454" s="64" t="n">
        <x:v>3</x:v>
      </x:c>
      <x:c r="E454" s="29" t="str">
        <x:v>Where safe, try: “I can't agree to that time. These are the options I can offer.”</x:v>
      </x:c>
      <x:c r="F454" s="29" t="str">
        <x:v>Slide 3 of 6. Where safe, try: “I can't agree to that time. These are the options I can offer.”</x:v>
      </x:c>
      <x:c r="G454" s="29" t="str">
        <x:v>script</x:v>
      </x:c>
      <x:c r="H454" s="29" t="str">
        <x:v>Draft — owner review</x:v>
      </x:c>
    </x:row>
    <x:row r="455" ht="84" customHeight="1">
      <x:c r="A455" s="29" t="str">
        <x:v>BTB-076</x:v>
      </x:c>
      <x:c r="B455" s="62" t="n">
        <x:v>46398</x:v>
      </x:c>
      <x:c r="C455" s="64" t="str">
        <x:v>P4</x:v>
      </x:c>
      <x:c r="D455" s="64" t="n">
        <x:v>4</x:v>
      </x:c>
      <x:c r="E455" s="29" t="str">
        <x:v>Keep the reason relevant. You do not need to attach every past disappointment to the current decision.</x:v>
      </x:c>
      <x:c r="F455" s="29" t="str">
        <x:v>Slide 4 of 6. Keep the reason relevant. You do not need to attach every past disappointment to the current decision.</x:v>
      </x:c>
      <x:c r="G455" s="29" t="str">
        <x:v>script</x:v>
      </x:c>
      <x:c r="H455" s="29" t="str">
        <x:v>Draft — owner review</x:v>
      </x:c>
    </x:row>
    <x:row r="456" ht="84" customHeight="1">
      <x:c r="A456" s="29" t="str">
        <x:v>BTB-076</x:v>
      </x:c>
      <x:c r="B456" s="62" t="n">
        <x:v>46398</x:v>
      </x:c>
      <x:c r="C456" s="64" t="str">
        <x:v>P4</x:v>
      </x:c>
      <x:c r="D456" s="64" t="n">
        <x:v>5</x:v>
      </x:c>
      <x:c r="E456" s="29" t="str">
        <x:v>A clear alternative does not guarantee agreement. Some disagreements need mediation, professional advice, or another appropriate process.</x:v>
      </x:c>
      <x:c r="F456" s="29" t="str">
        <x:v>Slide 5 of 6. A clear alternative does not guarantee agreement. Some disagreements need mediation, professional advice, or another appropriate process.</x:v>
      </x:c>
      <x:c r="G456" s="29" t="str">
        <x:v>script</x:v>
      </x:c>
      <x:c r="H456" s="29" t="str">
        <x:v>Draft — owner review</x:v>
      </x:c>
    </x:row>
    <x:row r="457" ht="84" customHeight="1">
      <x:c r="A457" s="29" t="str">
        <x:v>BTB-076</x:v>
      </x:c>
      <x:c r="B457" s="62" t="n">
        <x:v>46398</x:v>
      </x:c>
      <x:c r="C457" s="64" t="str">
        <x:v>P4</x:v>
      </x:c>
      <x:c r="D457" s="64" t="n">
        <x:v>6</x:v>
      </x:c>
      <x:c r="E457" s="29" t="str">
        <x:v>Save this for a conversation where the practical issue is getting buried under the personal one.</x:v>
      </x:c>
      <x:c r="F457" s="29" t="str">
        <x:v>Slide 6 of 6. Save this for a conversation where the practical issue is getting buried under the personal one.</x:v>
      </x:c>
      <x:c r="G457" s="29" t="str">
        <x:v>script</x:v>
      </x:c>
      <x:c r="H457" s="29" t="str">
        <x:v>Draft — owner review</x:v>
      </x:c>
    </x:row>
    <x:row r="458" ht="84" customHeight="1">
      <x:c r="A458" s="29" t="str">
        <x:v>BTB-077</x:v>
      </x:c>
      <x:c r="B458" s="62" t="n">
        <x:v>46399</x:v>
      </x:c>
      <x:c r="C458" s="64" t="str">
        <x:v>P5</x:v>
      </x:c>
      <x:c r="D458" s="64" t="n">
        <x:v>1</x:v>
      </x:c>
      <x:c r="E458" s="29" t="str">
        <x:v>Make a “not this month” list.</x:v>
      </x:c>
      <x:c r="F458" s="29" t="str">
        <x:v>Slide 1 of 6. Make a “not this month” list.</x:v>
      </x:c>
      <x:c r="G458" s="29" t="str">
        <x:v>checklist</x:v>
      </x:c>
      <x:c r="H458" s="29" t="str">
        <x:v>Draft — owner review</x:v>
      </x:c>
    </x:row>
    <x:row r="459" ht="84" customHeight="1">
      <x:c r="A459" s="29" t="str">
        <x:v>BTB-077</x:v>
      </x:c>
      <x:c r="B459" s="62" t="n">
        <x:v>46399</x:v>
      </x:c>
      <x:c r="C459" s="64" t="str">
        <x:v>P5</x:v>
      </x:c>
      <x:c r="D459" s="64" t="n">
        <x:v>2</x:v>
      </x:c>
      <x:c r="E459" s="29" t="str">
        <x:v>Unfinished ideas can keep demanding attention even when you have already decided they are not current priorities.</x:v>
      </x:c>
      <x:c r="F459" s="29" t="str">
        <x:v>Slide 2 of 6. Unfinished ideas can keep demanding attention even when you have already decided they are not current priorities.</x:v>
      </x:c>
      <x:c r="G459" s="29" t="str">
        <x:v>checklist</x:v>
      </x:c>
      <x:c r="H459" s="29" t="str">
        <x:v>Draft — owner review</x:v>
      </x:c>
    </x:row>
    <x:row r="460" ht="84" customHeight="1">
      <x:c r="A460" s="29" t="str">
        <x:v>BTB-077</x:v>
      </x:c>
      <x:c r="B460" s="62" t="n">
        <x:v>46399</x:v>
      </x:c>
      <x:c r="C460" s="64" t="str">
        <x:v>P5</x:v>
      </x:c>
      <x:c r="D460" s="64" t="n">
        <x:v>3</x:v>
      </x:c>
      <x:c r="E460" s="29" t="str">
        <x:v>Write the idea down, explain why it is waiting, and choose a date to review it.</x:v>
      </x:c>
      <x:c r="F460" s="29" t="str">
        <x:v>Slide 3 of 6. Write the idea down, explain why it is waiting, and choose a date to review it.</x:v>
      </x:c>
      <x:c r="G460" s="29" t="str">
        <x:v>checklist</x:v>
      </x:c>
      <x:c r="H460" s="29" t="str">
        <x:v>Draft — owner review</x:v>
      </x:c>
    </x:row>
    <x:row r="461" ht="84" customHeight="1">
      <x:c r="A461" s="29" t="str">
        <x:v>BTB-077</x:v>
      </x:c>
      <x:c r="B461" s="62" t="n">
        <x:v>46399</x:v>
      </x:c>
      <x:c r="C461" s="64" t="str">
        <x:v>P5</x:v>
      </x:c>
      <x:c r="D461" s="64" t="n">
        <x:v>4</x:v>
      </x:c>
      <x:c r="E461" s="29" t="str">
        <x:v>Do not place genuine deadlines or essential responsibilities on the list just because they are uncomfortable.</x:v>
      </x:c>
      <x:c r="F461" s="29" t="str">
        <x:v>Slide 4 of 6. Do not place genuine deadlines or essential responsibilities on the list just because they are uncomfortable.</x:v>
      </x:c>
      <x:c r="G461" s="29" t="str">
        <x:v>checklist</x:v>
      </x:c>
      <x:c r="H461" s="29" t="str">
        <x:v>Draft — owner review</x:v>
      </x:c>
    </x:row>
    <x:row r="462" ht="84" customHeight="1">
      <x:c r="A462" s="29" t="str">
        <x:v>BTB-077</x:v>
      </x:c>
      <x:c r="B462" s="62" t="n">
        <x:v>46399</x:v>
      </x:c>
      <x:c r="C462" s="64" t="str">
        <x:v>P5</x:v>
      </x:c>
      <x:c r="D462" s="64" t="n">
        <x:v>5</x:v>
      </x:c>
      <x:c r="E462" s="29" t="str">
        <x:v>The purpose is deliberate sequencing, not avoidance disguised as planning.</x:v>
      </x:c>
      <x:c r="F462" s="29" t="str">
        <x:v>Slide 5 of 6. The purpose is deliberate sequencing, not avoidance disguised as planning.</x:v>
      </x:c>
      <x:c r="G462" s="29" t="str">
        <x:v>checklist</x:v>
      </x:c>
      <x:c r="H462" s="29" t="str">
        <x:v>Draft — owner review</x:v>
      </x:c>
    </x:row>
    <x:row r="463" ht="84" customHeight="1">
      <x:c r="A463" s="29" t="str">
        <x:v>BTB-077</x:v>
      </x:c>
      <x:c r="B463" s="62" t="n">
        <x:v>46399</x:v>
      </x:c>
      <x:c r="C463" s="64" t="str">
        <x:v>P5</x:v>
      </x:c>
      <x:c r="D463" s="64" t="n">
        <x:v>6</x:v>
      </x:c>
      <x:c r="E463" s="29" t="str">
        <x:v>Save this when everything sounds important and nothing is getting enough attention.</x:v>
      </x:c>
      <x:c r="F463" s="29" t="str">
        <x:v>Slide 6 of 6. Save this when everything sounds important and nothing is getting enough attention.</x:v>
      </x:c>
      <x:c r="G463" s="29" t="str">
        <x:v>checklist</x:v>
      </x:c>
      <x:c r="H463" s="29" t="str">
        <x:v>Draft — owner review</x:v>
      </x:c>
    </x:row>
    <x:row r="464" ht="84" customHeight="1">
      <x:c r="A464" s="29" t="str">
        <x:v>BTB-078</x:v>
      </x:c>
      <x:c r="B464" s="62" t="n">
        <x:v>46400</x:v>
      </x:c>
      <x:c r="C464" s="64" t="str">
        <x:v>P1</x:v>
      </x:c>
      <x:c r="D464" s="64" t="n">
        <x:v>1</x:v>
      </x:c>
      <x:c r="E464" s="29" t="str">
        <x:v>A relationship ending is an event. Being a failure is a verdict.</x:v>
      </x:c>
      <x:c r="F464" s="29" t="str">
        <x:v>Slide 1 of 6. A relationship ending is an event. Being a failure is a verdict.</x:v>
      </x:c>
      <x:c r="G464" s="29" t="str">
        <x:v>contrast</x:v>
      </x:c>
      <x:c r="H464" s="29" t="str">
        <x:v>Draft — owner review</x:v>
      </x:c>
    </x:row>
    <x:row r="465" ht="84" customHeight="1">
      <x:c r="A465" s="29" t="str">
        <x:v>BTB-078</x:v>
      </x:c>
      <x:c r="B465" s="62" t="n">
        <x:v>46400</x:v>
      </x:c>
      <x:c r="C465" s="64" t="str">
        <x:v>P1</x:v>
      </x:c>
      <x:c r="D465" s="64" t="n">
        <x:v>2</x:v>
      </x:c>
      <x:c r="E465" s="29" t="str">
        <x:v>The event may bring real consequences and things worth learning. The verdict tries to explain your whole worth at once.</x:v>
      </x:c>
      <x:c r="F465" s="29" t="str">
        <x:v>Slide 2 of 6. The event may bring real consequences and things worth learning. The verdict tries to explain your whole worth at once.</x:v>
      </x:c>
      <x:c r="G465" s="29" t="str">
        <x:v>contrast</x:v>
      </x:c>
      <x:c r="H465" s="29" t="str">
        <x:v>Draft — owner review</x:v>
      </x:c>
    </x:row>
    <x:row r="466" ht="84" customHeight="1">
      <x:c r="A466" s="29" t="str">
        <x:v>BTB-078</x:v>
      </x:c>
      <x:c r="B466" s="62" t="n">
        <x:v>46400</x:v>
      </x:c>
      <x:c r="C466" s="64" t="str">
        <x:v>P1</x:v>
      </x:c>
      <x:c r="D466" s="64" t="n">
        <x:v>3</x:v>
      </x:c>
      <x:c r="E466" s="29" t="str">
        <x:v>Replace the verdict with specific questions: what changed, what do I regret, and what do I need to do next?</x:v>
      </x:c>
      <x:c r="F466" s="29" t="str">
        <x:v>Slide 3 of 6. Replace the verdict with specific questions: what changed, what do I regret, and what do I need to do next?</x:v>
      </x:c>
      <x:c r="G466" s="29" t="str">
        <x:v>contrast</x:v>
      </x:c>
      <x:c r="H466" s="29" t="str">
        <x:v>Draft — owner review</x:v>
      </x:c>
    </x:row>
    <x:row r="467" ht="84" customHeight="1">
      <x:c r="A467" s="29" t="str">
        <x:v>BTB-078</x:v>
      </x:c>
      <x:c r="B467" s="62" t="n">
        <x:v>46400</x:v>
      </x:c>
      <x:c r="C467" s="64" t="str">
        <x:v>P1</x:v>
      </x:c>
      <x:c r="D467" s="64" t="n">
        <x:v>4</x:v>
      </x:c>
      <x:c r="E467" s="29" t="str">
        <x:v>Be honest about your responsibilities without pretending you control everyone else's choices.</x:v>
      </x:c>
      <x:c r="F467" s="29" t="str">
        <x:v>Slide 4 of 6. Be honest about your responsibilities without pretending you control everyone else's choices.</x:v>
      </x:c>
      <x:c r="G467" s="29" t="str">
        <x:v>contrast</x:v>
      </x:c>
      <x:c r="H467" s="29" t="str">
        <x:v>Draft — owner review</x:v>
      </x:c>
    </x:row>
    <x:row r="468" ht="84" customHeight="1">
      <x:c r="A468" s="29" t="str">
        <x:v>BTB-078</x:v>
      </x:c>
      <x:c r="B468" s="62" t="n">
        <x:v>46400</x:v>
      </x:c>
      <x:c r="C468" s="64" t="str">
        <x:v>P1</x:v>
      </x:c>
      <x:c r="D468" s="64" t="n">
        <x:v>5</x:v>
      </x:c>
      <x:c r="E468" s="29" t="str">
        <x:v>You can seek help with the consequences without accepting the global label.</x:v>
      </x:c>
      <x:c r="F468" s="29" t="str">
        <x:v>Slide 5 of 6. You can seek help with the consequences without accepting the global label.</x:v>
      </x:c>
      <x:c r="G468" s="29" t="str">
        <x:v>contrast</x:v>
      </x:c>
      <x:c r="H468" s="29" t="str">
        <x:v>Draft — owner review</x:v>
      </x:c>
    </x:row>
    <x:row r="469" ht="84" customHeight="1">
      <x:c r="A469" s="29" t="str">
        <x:v>BTB-078</x:v>
      </x:c>
      <x:c r="B469" s="62" t="n">
        <x:v>46400</x:v>
      </x:c>
      <x:c r="C469" s="64" t="str">
        <x:v>P1</x:v>
      </x:c>
      <x:c r="D469" s="64" t="n">
        <x:v>6</x:v>
      </x:c>
      <x:c r="E469" s="29" t="str">
        <x:v>Share this with someone who has turned a painful chapter into their entire definition.</x:v>
      </x:c>
      <x:c r="F469" s="29" t="str">
        <x:v>Slide 6 of 6. Share this with someone who has turned a painful chapter into their entire definition.</x:v>
      </x:c>
      <x:c r="G469" s="29" t="str">
        <x:v>contrast</x:v>
      </x:c>
      <x:c r="H469" s="29" t="str">
        <x:v>Draft — owner review</x:v>
      </x:c>
    </x:row>
    <x:row r="470" ht="84" customHeight="1">
      <x:c r="A470" s="29" t="str">
        <x:v>BTB-079</x:v>
      </x:c>
      <x:c r="B470" s="62" t="n">
        <x:v>46401</x:v>
      </x:c>
      <x:c r="C470" s="64" t="str">
        <x:v>P2</x:v>
      </x:c>
      <x:c r="D470" s="64" t="n">
        <x:v>1</x:v>
      </x:c>
      <x:c r="E470" s="29" t="str">
        <x:v>You do not need to make your pain useful every day.</x:v>
      </x:c>
      <x:c r="F470" s="29" t="str">
        <x:v>Slide 1 of 6. You do not need to make your pain useful every day.</x:v>
      </x:c>
      <x:c r="G470" s="29" t="str">
        <x:v>editorial</x:v>
      </x:c>
      <x:c r="H470" s="29" t="str">
        <x:v>Draft — owner review</x:v>
      </x:c>
    </x:row>
    <x:row r="471" ht="84" customHeight="1">
      <x:c r="A471" s="29" t="str">
        <x:v>BTB-079</x:v>
      </x:c>
      <x:c r="B471" s="62" t="n">
        <x:v>46401</x:v>
      </x:c>
      <x:c r="C471" s="64" t="str">
        <x:v>P2</x:v>
      </x:c>
      <x:c r="D471" s="64" t="n">
        <x:v>2</x:v>
      </x:c>
      <x:c r="E471" s="29" t="str">
        <x:v>Some days it becomes a lesson. Some days it is simply something difficult to carry.</x:v>
      </x:c>
      <x:c r="F471" s="29" t="str">
        <x:v>Slide 2 of 6. Some days it becomes a lesson. Some days it is simply something difficult to carry.</x:v>
      </x:c>
      <x:c r="G471" s="29" t="str">
        <x:v>editorial</x:v>
      </x:c>
      <x:c r="H471" s="29" t="str">
        <x:v>Draft — owner review</x:v>
      </x:c>
    </x:row>
    <x:row r="472" ht="84" customHeight="1">
      <x:c r="A472" s="29" t="str">
        <x:v>BTB-079</x:v>
      </x:c>
      <x:c r="B472" s="62" t="n">
        <x:v>46401</x:v>
      </x:c>
      <x:c r="C472" s="64" t="str">
        <x:v>P2</x:v>
      </x:c>
      <x:c r="D472" s="64" t="n">
        <x:v>3</x:v>
      </x:c>
      <x:c r="E472" s="29" t="str">
        <x:v>You are not required to turn every experience into growth, gratitude, or content.</x:v>
      </x:c>
      <x:c r="F472" s="29" t="str">
        <x:v>Slide 3 of 6. You are not required to turn every experience into growth, gratitude, or content.</x:v>
      </x:c>
      <x:c r="G472" s="29" t="str">
        <x:v>editorial</x:v>
      </x:c>
      <x:c r="H472" s="29" t="str">
        <x:v>Draft — owner review</x:v>
      </x:c>
    </x:row>
    <x:row r="473" ht="84" customHeight="1">
      <x:c r="A473" s="29" t="str">
        <x:v>BTB-079</x:v>
      </x:c>
      <x:c r="B473" s="62" t="n">
        <x:v>46401</x:v>
      </x:c>
      <x:c r="C473" s="64" t="str">
        <x:v>P2</x:v>
      </x:c>
      <x:c r="D473" s="64" t="n">
        <x:v>4</x:v>
      </x:c>
      <x:c r="E473" s="29" t="str">
        <x:v>Ask what would be supportive today, rather than what inspiring meaning you should extract from it.</x:v>
      </x:c>
      <x:c r="F473" s="29" t="str">
        <x:v>Slide 4 of 6. Ask what would be supportive today, rather than what inspiring meaning you should extract from it.</x:v>
      </x:c>
      <x:c r="G473" s="29" t="str">
        <x:v>editorial</x:v>
      </x:c>
      <x:c r="H473" s="29" t="str">
        <x:v>Draft — owner review</x:v>
      </x:c>
    </x:row>
    <x:row r="474" ht="84" customHeight="1">
      <x:c r="A474" s="29" t="str">
        <x:v>BTB-079</x:v>
      </x:c>
      <x:c r="B474" s="62" t="n">
        <x:v>46401</x:v>
      </x:c>
      <x:c r="C474" s="64" t="str">
        <x:v>P2</x:v>
      </x:c>
      <x:c r="D474" s="64" t="n">
        <x:v>5</x:v>
      </x:c>
      <x:c r="E474" s="29" t="str">
        <x:v>That may be a conversation, practical help, professional care, or permission to leave a question unanswered for now.</x:v>
      </x:c>
      <x:c r="F474" s="29" t="str">
        <x:v>Slide 5 of 6. That may be a conversation, practical help, professional care, or permission to leave a question unanswered for now.</x:v>
      </x:c>
      <x:c r="G474" s="29" t="str">
        <x:v>editorial</x:v>
      </x:c>
      <x:c r="H474" s="29" t="str">
        <x:v>Draft — owner review</x:v>
      </x:c>
    </x:row>
    <x:row r="475" ht="84" customHeight="1">
      <x:c r="A475" s="29" t="str">
        <x:v>BTB-079</x:v>
      </x:c>
      <x:c r="B475" s="62" t="n">
        <x:v>46401</x:v>
      </x:c>
      <x:c r="C475" s="64" t="str">
        <x:v>P2</x:v>
      </x:c>
      <x:c r="D475" s="64" t="n">
        <x:v>6</x:v>
      </x:c>
      <x:c r="E475" s="29" t="str">
        <x:v>Send this to someone exhausted by the expectation to become stronger on schedule.</x:v>
      </x:c>
      <x:c r="F475" s="29" t="str">
        <x:v>Slide 6 of 6. Send this to someone exhausted by the expectation to become stronger on schedule.</x:v>
      </x:c>
      <x:c r="G475" s="29" t="str">
        <x:v>editorial</x:v>
      </x:c>
      <x:c r="H475" s="29" t="str">
        <x:v>Draft — owner review</x:v>
      </x:c>
    </x:row>
    <x:row r="476" ht="84" customHeight="1">
      <x:c r="A476" s="29" t="str">
        <x:v>BTB-080</x:v>
      </x:c>
      <x:c r="B476" s="62" t="n">
        <x:v>46402</x:v>
      </x:c>
      <x:c r="C476" s="64" t="str">
        <x:v>P3</x:v>
      </x:c>
      <x:c r="D476" s="64" t="n">
        <x:v>1</x:v>
      </x:c>
      <x:c r="E476" s="29" t="str">
        <x:v>When a plan changes, tell the child what is known—not who to blame.</x:v>
      </x:c>
      <x:c r="F476" s="29" t="str">
        <x:v>Slide 1 of 6. When a plan changes, tell the child what is known—not who to blame.</x:v>
      </x:c>
      <x:c r="G476" s="29" t="str">
        <x:v>script</x:v>
      </x:c>
      <x:c r="H476" s="29" t="str">
        <x:v>Draft — owner review</x:v>
      </x:c>
    </x:row>
    <x:row r="477" ht="84" customHeight="1">
      <x:c r="A477" s="29" t="str">
        <x:v>BTB-080</x:v>
      </x:c>
      <x:c r="B477" s="62" t="n">
        <x:v>46402</x:v>
      </x:c>
      <x:c r="C477" s="64" t="str">
        <x:v>P3</x:v>
      </x:c>
      <x:c r="D477" s="64" t="n">
        <x:v>2</x:v>
      </x:c>
      <x:c r="E477" s="29" t="str">
        <x:v>Disappointment can make an adult explanation feel necessary. A child may first need a clear account of what happens next.</x:v>
      </x:c>
      <x:c r="F477" s="29" t="str">
        <x:v>Slide 2 of 6. Disappointment can make an adult explanation feel necessary. A child may first need a clear account of what happens next.</x:v>
      </x:c>
      <x:c r="G477" s="29" t="str">
        <x:v>script</x:v>
      </x:c>
      <x:c r="H477" s="29" t="str">
        <x:v>Draft — owner review</x:v>
      </x:c>
    </x:row>
    <x:row r="478" ht="84" customHeight="1">
      <x:c r="A478" s="29" t="str">
        <x:v>BTB-080</x:v>
      </x:c>
      <x:c r="B478" s="62" t="n">
        <x:v>46402</x:v>
      </x:c>
      <x:c r="C478" s="64" t="str">
        <x:v>P3</x:v>
      </x:c>
      <x:c r="D478" s="64" t="n">
        <x:v>3</x:v>
      </x:c>
      <x:c r="E478" s="29" t="str">
        <x:v>Try: “Today's plan has changed. This is what we know, and this is what we are doing now.”</x:v>
      </x:c>
      <x:c r="F478" s="29" t="str">
        <x:v>Slide 3 of 6. Try: “Today's plan has changed. This is what we know, and this is what we are doing now.”</x:v>
      </x:c>
      <x:c r="G478" s="29" t="str">
        <x:v>script</x:v>
      </x:c>
      <x:c r="H478" s="29" t="str">
        <x:v>Draft — owner review</x:v>
      </x:c>
    </x:row>
    <x:row r="479" ht="84" customHeight="1">
      <x:c r="A479" s="29" t="str">
        <x:v>BTB-080</x:v>
      </x:c>
      <x:c r="B479" s="62" t="n">
        <x:v>46402</x:v>
      </x:c>
      <x:c r="C479" s="64" t="str">
        <x:v>P3</x:v>
      </x:c>
      <x:c r="D479" s="64" t="n">
        <x:v>4</x:v>
      </x:c>
      <x:c r="E479" s="29" t="str">
        <x:v>Acknowledge the disappointment without inventing certainty or asking them to take your side.</x:v>
      </x:c>
      <x:c r="F479" s="29" t="str">
        <x:v>Slide 4 of 6. Acknowledge the disappointment without inventing certainty or asking them to take your side.</x:v>
      </x:c>
      <x:c r="G479" s="29" t="str">
        <x:v>script</x:v>
      </x:c>
      <x:c r="H479" s="29" t="str">
        <x:v>Draft — owner review</x:v>
      </x:c>
    </x:row>
    <x:row r="480" ht="84" customHeight="1">
      <x:c r="A480" s="29" t="str">
        <x:v>BTB-080</x:v>
      </x:c>
      <x:c r="B480" s="62" t="n">
        <x:v>46402</x:v>
      </x:c>
      <x:c r="C480" s="64" t="str">
        <x:v>P3</x:v>
      </x:c>
      <x:c r="D480" s="64" t="n">
        <x:v>5</x:v>
      </x:c>
      <x:c r="E480" s="29" t="str">
        <x:v>Handle the adult issue through the appropriate channel, with qualified support where required.</x:v>
      </x:c>
      <x:c r="F480" s="29" t="str">
        <x:v>Slide 5 of 6. Handle the adult issue through the appropriate channel, with qualified support where required.</x:v>
      </x:c>
      <x:c r="G480" s="29" t="str">
        <x:v>script</x:v>
      </x:c>
      <x:c r="H480" s="29" t="str">
        <x:v>Draft — owner review</x:v>
      </x:c>
    </x:row>
    <x:row r="481" ht="84" customHeight="1">
      <x:c r="A481" s="29" t="str">
        <x:v>BTB-080</x:v>
      </x:c>
      <x:c r="B481" s="62" t="n">
        <x:v>46402</x:v>
      </x:c>
      <x:c r="C481" s="64" t="str">
        <x:v>P3</x:v>
      </x:c>
      <x:c r="D481" s="64" t="n">
        <x:v>6</x:v>
      </x:c>
      <x:c r="E481" s="29" t="str">
        <x:v>Save this for a changed plan that needs steadiness more than a full explanation.</x:v>
      </x:c>
      <x:c r="F481" s="29" t="str">
        <x:v>Slide 6 of 6. Save this for a changed plan that needs steadiness more than a full explanation.</x:v>
      </x:c>
      <x:c r="G481" s="29" t="str">
        <x:v>script</x:v>
      </x:c>
      <x:c r="H481" s="29" t="str">
        <x:v>Draft — owner review</x:v>
      </x:c>
    </x:row>
    <x:row r="482" ht="84" customHeight="1">
      <x:c r="A482" s="29" t="str">
        <x:v>BTB-081</x:v>
      </x:c>
      <x:c r="B482" s="62" t="n">
        <x:v>46403</x:v>
      </x:c>
      <x:c r="C482" s="64" t="str">
        <x:v>P4</x:v>
      </x:c>
      <x:c r="D482" s="64" t="n">
        <x:v>1</x:v>
      </x:c>
      <x:c r="E482" s="29" t="str">
        <x:v>Before restarting a relationship, talk about the ordinary Tuesday.</x:v>
      </x:c>
      <x:c r="F482" s="29" t="str">
        <x:v>Slide 1 of 6. Before restarting a relationship, talk about the ordinary Tuesday.</x:v>
      </x:c>
      <x:c r="G482" s="29" t="str">
        <x:v>checklist</x:v>
      </x:c>
      <x:c r="H482" s="29" t="str">
        <x:v>Draft — owner review</x:v>
      </x:c>
    </x:row>
    <x:row r="483" ht="84" customHeight="1">
      <x:c r="A483" s="29" t="str">
        <x:v>BTB-081</x:v>
      </x:c>
      <x:c r="B483" s="62" t="n">
        <x:v>46403</x:v>
      </x:c>
      <x:c r="C483" s="64" t="str">
        <x:v>P4</x:v>
      </x:c>
      <x:c r="D483" s="64" t="n">
        <x:v>2</x:v>
      </x:c>
      <x:c r="E483" s="29" t="str">
        <x:v>A powerful reunion does not explain how everyday disagreements, responsibilities, and boundaries will be handled.</x:v>
      </x:c>
      <x:c r="F483" s="29" t="str">
        <x:v>Slide 2 of 6. A powerful reunion does not explain how everyday disagreements, responsibilities, and boundaries will be handled.</x:v>
      </x:c>
      <x:c r="G483" s="29" t="str">
        <x:v>checklist</x:v>
      </x:c>
      <x:c r="H483" s="29" t="str">
        <x:v>Draft — owner review</x:v>
      </x:c>
    </x:row>
    <x:row r="484" ht="84" customHeight="1">
      <x:c r="A484" s="29" t="str">
        <x:v>BTB-081</x:v>
      </x:c>
      <x:c r="B484" s="62" t="n">
        <x:v>46403</x:v>
      </x:c>
      <x:c r="C484" s="64" t="str">
        <x:v>P4</x:v>
      </x:c>
      <x:c r="D484" s="64" t="n">
        <x:v>3</x:v>
      </x:c>
      <x:c r="E484" s="29" t="str">
        <x:v>Ask what would actually be different in those ordinary situations.</x:v>
      </x:c>
      <x:c r="F484" s="29" t="str">
        <x:v>Slide 3 of 6. Ask what would actually be different in those ordinary situations.</x:v>
      </x:c>
      <x:c r="G484" s="29" t="str">
        <x:v>checklist</x:v>
      </x:c>
      <x:c r="H484" s="29" t="str">
        <x:v>Draft — owner review</x:v>
      </x:c>
    </x:row>
    <x:row r="485" ht="84" customHeight="1">
      <x:c r="A485" s="29" t="str">
        <x:v>BTB-081</x:v>
      </x:c>
      <x:c r="B485" s="62" t="n">
        <x:v>46403</x:v>
      </x:c>
      <x:c r="C485" s="64" t="str">
        <x:v>P4</x:v>
      </x:c>
      <x:c r="D485" s="64" t="n">
        <x:v>4</x:v>
      </x:c>
      <x:c r="E485" s="29" t="str">
        <x:v>Listen for specifics, including each person's responsibility and what support might be needed.</x:v>
      </x:c>
      <x:c r="F485" s="29" t="str">
        <x:v>Slide 4 of 6. Listen for specifics, including each person's responsibility and what support might be needed.</x:v>
      </x:c>
      <x:c r="G485" s="29" t="str">
        <x:v>checklist</x:v>
      </x:c>
      <x:c r="H485" s="29" t="str">
        <x:v>Draft — owner review</x:v>
      </x:c>
    </x:row>
    <x:row r="486" ht="84" customHeight="1">
      <x:c r="A486" s="29" t="str">
        <x:v>BTB-081</x:v>
      </x:c>
      <x:c r="B486" s="62" t="n">
        <x:v>46403</x:v>
      </x:c>
      <x:c r="C486" s="64" t="str">
        <x:v>P4</x:v>
      </x:c>
      <x:c r="D486" s="64" t="n">
        <x:v>5</x:v>
      </x:c>
      <x:c r="E486" s="29" t="str">
        <x:v>You do not have to reconcile. Where harm or coercion has occurred, get appropriate safety guidance before considering contact.</x:v>
      </x:c>
      <x:c r="F486" s="29" t="str">
        <x:v>Slide 5 of 6. You do not have to reconcile. Where harm or coercion has occurred, get appropriate safety guidance before considering contact.</x:v>
      </x:c>
      <x:c r="G486" s="29" t="str">
        <x:v>checklist</x:v>
      </x:c>
      <x:c r="H486" s="29" t="str">
        <x:v>Draft — owner review</x:v>
      </x:c>
    </x:row>
    <x:row r="487" ht="84" customHeight="1">
      <x:c r="A487" s="29" t="str">
        <x:v>BTB-081</x:v>
      </x:c>
      <x:c r="B487" s="62" t="n">
        <x:v>46403</x:v>
      </x:c>
      <x:c r="C487" s="64" t="str">
        <x:v>P4</x:v>
      </x:c>
      <x:c r="D487" s="64" t="n">
        <x:v>6</x:v>
      </x:c>
      <x:c r="E487" s="29" t="str">
        <x:v>Save this question: what changes when the emotional moment is over?</x:v>
      </x:c>
      <x:c r="F487" s="29" t="str">
        <x:v>Slide 6 of 6. Save this question: what changes when the emotional moment is over?</x:v>
      </x:c>
      <x:c r="G487" s="29" t="str">
        <x:v>checklist</x:v>
      </x:c>
      <x:c r="H487" s="29" t="str">
        <x:v>Draft — owner review</x:v>
      </x:c>
    </x:row>
    <x:row r="488" ht="84" customHeight="1">
      <x:c r="A488" s="29" t="str">
        <x:v>BTB-082</x:v>
      </x:c>
      <x:c r="B488" s="62" t="n">
        <x:v>46404</x:v>
      </x:c>
      <x:c r="C488" s="64" t="str">
        <x:v>P5</x:v>
      </x:c>
      <x:c r="D488" s="64" t="n">
        <x:v>1</x:v>
      </x:c>
      <x:c r="E488" s="29" t="str">
        <x:v>Your next appointment deserves a short question list.</x:v>
      </x:c>
      <x:c r="F488" s="29" t="str">
        <x:v>Slide 1 of 6. Your next appointment deserves a short question list.</x:v>
      </x:c>
      <x:c r="G488" s="29" t="str">
        <x:v>checklist</x:v>
      </x:c>
      <x:c r="H488" s="29" t="str">
        <x:v>Draft — owner review</x:v>
      </x:c>
    </x:row>
    <x:row r="489" ht="84" customHeight="1">
      <x:c r="A489" s="29" t="str">
        <x:v>BTB-082</x:v>
      </x:c>
      <x:c r="B489" s="62" t="n">
        <x:v>46404</x:v>
      </x:c>
      <x:c r="C489" s="64" t="str">
        <x:v>P5</x:v>
      </x:c>
      <x:c r="D489" s="64" t="n">
        <x:v>2</x:v>
      </x:c>
      <x:c r="E489" s="29" t="str">
        <x:v>Important conversations can end with “I forgot to ask” when too many concerns arrive at once.</x:v>
      </x:c>
      <x:c r="F489" s="29" t="str">
        <x:v>Slide 2 of 6. Important conversations can end with “I forgot to ask” when too many concerns arrive at once.</x:v>
      </x:c>
      <x:c r="G489" s="29" t="str">
        <x:v>checklist</x:v>
      </x:c>
      <x:c r="H489" s="29" t="str">
        <x:v>Draft — owner review</x:v>
      </x:c>
    </x:row>
    <x:row r="490" ht="84" customHeight="1">
      <x:c r="A490" s="29" t="str">
        <x:v>BTB-082</x:v>
      </x:c>
      <x:c r="B490" s="62" t="n">
        <x:v>46404</x:v>
      </x:c>
      <x:c r="C490" s="64" t="str">
        <x:v>P5</x:v>
      </x:c>
      <x:c r="D490" s="64" t="n">
        <x:v>3</x:v>
      </x:c>
      <x:c r="E490" s="29" t="str">
        <x:v>Before meeting a professional, write your main question, the facts you know, and the decision you need help with.</x:v>
      </x:c>
      <x:c r="F490" s="29" t="str">
        <x:v>Slide 3 of 6. Before meeting a professional, write your main question, the facts you know, and the decision you need help with.</x:v>
      </x:c>
      <x:c r="G490" s="29" t="str">
        <x:v>checklist</x:v>
      </x:c>
      <x:c r="H490" s="29" t="str">
        <x:v>Draft — owner review</x:v>
      </x:c>
    </x:row>
    <x:row r="491" ht="84" customHeight="1">
      <x:c r="A491" s="29" t="str">
        <x:v>BTB-082</x:v>
      </x:c>
      <x:c r="B491" s="62" t="n">
        <x:v>46404</x:v>
      </x:c>
      <x:c r="C491" s="64" t="str">
        <x:v>P5</x:v>
      </x:c>
      <x:c r="D491" s="64" t="n">
        <x:v>4</x:v>
      </x:c>
      <x:c r="E491" s="29" t="str">
        <x:v>Bring the relevant documents securely. Mark anything you are uncertain about rather than presenting a guess as fact.</x:v>
      </x:c>
      <x:c r="F491" s="29" t="str">
        <x:v>Slide 4 of 6. Bring the relevant documents securely. Mark anything you are uncertain about rather than presenting a guess as fact.</x:v>
      </x:c>
      <x:c r="G491" s="29" t="str">
        <x:v>checklist</x:v>
      </x:c>
      <x:c r="H491" s="29" t="str">
        <x:v>Draft — owner review</x:v>
      </x:c>
    </x:row>
    <x:row r="492" ht="84" customHeight="1">
      <x:c r="A492" s="29" t="str">
        <x:v>BTB-082</x:v>
      </x:c>
      <x:c r="B492" s="62" t="n">
        <x:v>46404</x:v>
      </x:c>
      <x:c r="C492" s="64" t="str">
        <x:v>P5</x:v>
      </x:c>
      <x:c r="D492" s="64" t="n">
        <x:v>5</x:v>
      </x:c>
      <x:c r="E492" s="29" t="str">
        <x:v>Ask what happens next and whether any deadlines apply. Request clarification when you do not understand.</x:v>
      </x:c>
      <x:c r="F492" s="29" t="str">
        <x:v>Slide 5 of 6. Ask what happens next and whether any deadlines apply. Request clarification when you do not understand.</x:v>
      </x:c>
      <x:c r="G492" s="29" t="str">
        <x:v>checklist</x:v>
      </x:c>
      <x:c r="H492" s="29" t="str">
        <x:v>Draft — owner review</x:v>
      </x:c>
    </x:row>
    <x:row r="493" ht="84" customHeight="1">
      <x:c r="A493" s="29" t="str">
        <x:v>BTB-082</x:v>
      </x:c>
      <x:c r="B493" s="62" t="n">
        <x:v>46404</x:v>
      </x:c>
      <x:c r="C493" s="64" t="str">
        <x:v>P5</x:v>
      </x:c>
      <x:c r="D493" s="64" t="n">
        <x:v>6</x:v>
      </x:c>
      <x:c r="E493" s="29" t="str">
        <x:v>Save this preparation list for a conversation you do not want to leave feeling more confused.</x:v>
      </x:c>
      <x:c r="F493" s="29" t="str">
        <x:v>Slide 6 of 6. Save this preparation list for a conversation you do not want to leave feeling more confused.</x:v>
      </x:c>
      <x:c r="G493" s="29" t="str">
        <x:v>checklist</x:v>
      </x:c>
      <x:c r="H493" s="29" t="str">
        <x:v>Draft — owner review</x:v>
      </x:c>
    </x:row>
    <x:row r="494" ht="84" customHeight="1">
      <x:c r="A494" s="29" t="str">
        <x:v>BTB-083</x:v>
      </x:c>
      <x:c r="B494" s="62" t="n">
        <x:v>46405</x:v>
      </x:c>
      <x:c r="C494" s="64" t="str">
        <x:v>P1</x:v>
      </x:c>
      <x:c r="D494" s="64" t="n">
        <x:v>1</x:v>
      </x:c>
      <x:c r="E494" s="29" t="str">
        <x:v>You can stop explaining without pretending nobody misunderstood you.</x:v>
      </x:c>
      <x:c r="F494" s="29" t="str">
        <x:v>Slide 1 of 6. You can stop explaining without pretending nobody misunderstood you.</x:v>
      </x:c>
      <x:c r="G494" s="29" t="str">
        <x:v>editorial</x:v>
      </x:c>
      <x:c r="H494" s="29" t="str">
        <x:v>Draft — owner review</x:v>
      </x:c>
    </x:row>
    <x:row r="495" ht="84" customHeight="1">
      <x:c r="A495" s="29" t="str">
        <x:v>BTB-083</x:v>
      </x:c>
      <x:c r="B495" s="62" t="n">
        <x:v>46405</x:v>
      </x:c>
      <x:c r="C495" s="64" t="str">
        <x:v>P1</x:v>
      </x:c>
      <x:c r="D495" s="64" t="n">
        <x:v>2</x:v>
      </x:c>
      <x:c r="E495" s="29" t="str">
        <x:v>Being misread can hurt. Correcting every opinion can also become a task with no finish line.</x:v>
      </x:c>
      <x:c r="F495" s="29" t="str">
        <x:v>Slide 2 of 6. Being misread can hurt. Correcting every opinion can also become a task with no finish line.</x:v>
      </x:c>
      <x:c r="G495" s="29" t="str">
        <x:v>editorial</x:v>
      </x:c>
      <x:c r="H495" s="29" t="str">
        <x:v>Draft — owner review</x:v>
      </x:c>
    </x:row>
    <x:row r="496" ht="84" customHeight="1">
      <x:c r="A496" s="29" t="str">
        <x:v>BTB-083</x:v>
      </x:c>
      <x:c r="B496" s="62" t="n">
        <x:v>46405</x:v>
      </x:c>
      <x:c r="C496" s="64" t="str">
        <x:v>P1</x:v>
      </x:c>
      <x:c r="D496" s="64" t="n">
        <x:v>3</x:v>
      </x:c>
      <x:c r="E496" s="29" t="str">
        <x:v>Separate what genuinely needs a factual response from what you cannot productively resolve in public.</x:v>
      </x:c>
      <x:c r="F496" s="29" t="str">
        <x:v>Slide 3 of 6. Separate what genuinely needs a factual response from what you cannot productively resolve in public.</x:v>
      </x:c>
      <x:c r="G496" s="29" t="str">
        <x:v>editorial</x:v>
      </x:c>
      <x:c r="H496" s="29" t="str">
        <x:v>Draft — owner review</x:v>
      </x:c>
    </x:row>
    <x:row r="497" ht="84" customHeight="1">
      <x:c r="A497" s="29" t="str">
        <x:v>BTB-083</x:v>
      </x:c>
      <x:c r="B497" s="62" t="n">
        <x:v>46405</x:v>
      </x:c>
      <x:c r="C497" s="64" t="str">
        <x:v>P1</x:v>
      </x:c>
      <x:c r="D497" s="64" t="n">
        <x:v>4</x:v>
      </x:c>
      <x:c r="E497" s="29" t="str">
        <x:v>Use the appropriate private or professional channel where rights, responsibilities, or safety are involved.</x:v>
      </x:c>
      <x:c r="F497" s="29" t="str">
        <x:v>Slide 4 of 6. Use the appropriate private or professional channel where rights, responsibilities, or safety are involved.</x:v>
      </x:c>
      <x:c r="G497" s="29" t="str">
        <x:v>editorial</x:v>
      </x:c>
      <x:c r="H497" s="29" t="str">
        <x:v>Draft — owner review</x:v>
      </x:c>
    </x:row>
    <x:row r="498" ht="84" customHeight="1">
      <x:c r="A498" s="29" t="str">
        <x:v>BTB-083</x:v>
      </x:c>
      <x:c r="B498" s="62" t="n">
        <x:v>46405</x:v>
      </x:c>
      <x:c r="C498" s="64" t="str">
        <x:v>P1</x:v>
      </x:c>
      <x:c r="D498" s="64" t="n">
        <x:v>5</x:v>
      </x:c>
      <x:c r="E498" s="29" t="str">
        <x:v>With everyone else, consider whether another explanation serves a purpose you actually value.</x:v>
      </x:c>
      <x:c r="F498" s="29" t="str">
        <x:v>Slide 5 of 6. With everyone else, consider whether another explanation serves a purpose you actually value.</x:v>
      </x:c>
      <x:c r="G498" s="29" t="str">
        <x:v>editorial</x:v>
      </x:c>
      <x:c r="H498" s="29" t="str">
        <x:v>Draft — owner review</x:v>
      </x:c>
    </x:row>
    <x:row r="499" ht="84" customHeight="1">
      <x:c r="A499" s="29" t="str">
        <x:v>BTB-083</x:v>
      </x:c>
      <x:c r="B499" s="62" t="n">
        <x:v>46405</x:v>
      </x:c>
      <x:c r="C499" s="64" t="str">
        <x:v>P1</x:v>
      </x:c>
      <x:c r="D499" s="64" t="n">
        <x:v>6</x:v>
      </x:c>
      <x:c r="E499" s="29" t="str">
        <x:v>Share this with someone spending every spare hour trying to be understood by everyone.</x:v>
      </x:c>
      <x:c r="F499" s="29" t="str">
        <x:v>Slide 6 of 6. Share this with someone spending every spare hour trying to be understood by everyone.</x:v>
      </x:c>
      <x:c r="G499" s="29" t="str">
        <x:v>editorial</x:v>
      </x:c>
      <x:c r="H499" s="29" t="str">
        <x:v>Draft — owner review</x:v>
      </x:c>
    </x:row>
    <x:row r="500" ht="84" customHeight="1">
      <x:c r="A500" s="29" t="str">
        <x:v>BTB-084</x:v>
      </x:c>
      <x:c r="B500" s="62" t="n">
        <x:v>46406</x:v>
      </x:c>
      <x:c r="C500" s="64" t="str">
        <x:v>P2</x:v>
      </x:c>
      <x:c r="D500" s="64" t="n">
        <x:v>1</x:v>
      </x:c>
      <x:c r="E500" s="29" t="str">
        <x:v>Feeling behind is not the same as knowing your next step.</x:v>
      </x:c>
      <x:c r="F500" s="29" t="str">
        <x:v>Slide 1 of 6. Feeling behind is not the same as knowing your next step.</x:v>
      </x:c>
      <x:c r="G500" s="29" t="str">
        <x:v>contrast</x:v>
      </x:c>
      <x:c r="H500" s="29" t="str">
        <x:v>Draft — owner review</x:v>
      </x:c>
    </x:row>
    <x:row r="501" ht="84" customHeight="1">
      <x:c r="A501" s="29" t="str">
        <x:v>BTB-084</x:v>
      </x:c>
      <x:c r="B501" s="62" t="n">
        <x:v>46406</x:v>
      </x:c>
      <x:c r="C501" s="64" t="str">
        <x:v>P2</x:v>
      </x:c>
      <x:c r="D501" s="64" t="n">
        <x:v>2</x:v>
      </x:c>
      <x:c r="E501" s="29" t="str">
        <x:v>Comparison can make the gap look enormous while giving you very little usable information.</x:v>
      </x:c>
      <x:c r="F501" s="29" t="str">
        <x:v>Slide 2 of 6. Comparison can make the gap look enormous while giving you very little usable information.</x:v>
      </x:c>
      <x:c r="G501" s="29" t="str">
        <x:v>contrast</x:v>
      </x:c>
      <x:c r="H501" s="29" t="str">
        <x:v>Draft — owner review</x:v>
      </x:c>
    </x:row>
    <x:row r="502" ht="84" customHeight="1">
      <x:c r="A502" s="29" t="str">
        <x:v>BTB-084</x:v>
      </x:c>
      <x:c r="B502" s="62" t="n">
        <x:v>46406</x:v>
      </x:c>
      <x:c r="C502" s="64" t="str">
        <x:v>P2</x:v>
      </x:c>
      <x:c r="D502" s="64" t="n">
        <x:v>3</x:v>
      </x:c>
      <x:c r="E502" s="29" t="str">
        <x:v>Ask what you are comparing: income, relationships, home, career, or how life appears online.</x:v>
      </x:c>
      <x:c r="F502" s="29" t="str">
        <x:v>Slide 3 of 6. Ask what you are comparing: income, relationships, home, career, or how life appears online.</x:v>
      </x:c>
      <x:c r="G502" s="29" t="str">
        <x:v>contrast</x:v>
      </x:c>
      <x:c r="H502" s="29" t="str">
        <x:v>Draft — owner review</x:v>
      </x:c>
    </x:row>
    <x:row r="503" ht="84" customHeight="1">
      <x:c r="A503" s="29" t="str">
        <x:v>BTB-084</x:v>
      </x:c>
      <x:c r="B503" s="62" t="n">
        <x:v>46406</x:v>
      </x:c>
      <x:c r="C503" s="64" t="str">
        <x:v>P2</x:v>
      </x:c>
      <x:c r="D503" s="64" t="n">
        <x:v>4</x:v>
      </x:c>
      <x:c r="E503" s="29" t="str">
        <x:v>Choose one area and identify one practical action that fits your actual circumstances.</x:v>
      </x:c>
      <x:c r="F503" s="29" t="str">
        <x:v>Slide 4 of 6. Choose one area and identify one practical action that fits your actual circumstances.</x:v>
      </x:c>
      <x:c r="G503" s="29" t="str">
        <x:v>contrast</x:v>
      </x:c>
      <x:c r="H503" s="29" t="str">
        <x:v>Draft — owner review</x:v>
      </x:c>
    </x:row>
    <x:row r="504" ht="84" customHeight="1">
      <x:c r="A504" s="29" t="str">
        <x:v>BTB-084</x:v>
      </x:c>
      <x:c r="B504" s="62" t="n">
        <x:v>46406</x:v>
      </x:c>
      <x:c r="C504" s="64" t="str">
        <x:v>P2</x:v>
      </x:c>
      <x:c r="D504" s="64" t="n">
        <x:v>5</x:v>
      </x:c>
      <x:c r="E504" s="29" t="str">
        <x:v>Leave someone else's timeline out of the task description. Your next step needs your resources, not their life.</x:v>
      </x:c>
      <x:c r="F504" s="29" t="str">
        <x:v>Slide 5 of 6. Leave someone else's timeline out of the task description. Your next step needs your resources, not their life.</x:v>
      </x:c>
      <x:c r="G504" s="29" t="str">
        <x:v>contrast</x:v>
      </x:c>
      <x:c r="H504" s="29" t="str">
        <x:v>Draft — owner review</x:v>
      </x:c>
    </x:row>
    <x:row r="505" ht="84" customHeight="1">
      <x:c r="A505" s="29" t="str">
        <x:v>BTB-084</x:v>
      </x:c>
      <x:c r="B505" s="62" t="n">
        <x:v>46406</x:v>
      </x:c>
      <x:c r="C505" s="64" t="str">
        <x:v>P2</x:v>
      </x:c>
      <x:c r="D505" s="64" t="n">
        <x:v>6</x:v>
      </x:c>
      <x:c r="E505" s="29" t="str">
        <x:v>Save this for the moment comparison turns into a plan to fix everything at once.</x:v>
      </x:c>
      <x:c r="F505" s="29" t="str">
        <x:v>Slide 6 of 6. Save this for the moment comparison turns into a plan to fix everything at once.</x:v>
      </x:c>
      <x:c r="G505" s="29" t="str">
        <x:v>contrast</x:v>
      </x:c>
      <x:c r="H505" s="29" t="str">
        <x:v>Draft — owner review</x:v>
      </x:c>
    </x:row>
    <x:row r="506" ht="84" customHeight="1">
      <x:c r="A506" s="29" t="str">
        <x:v>BTB-085</x:v>
      </x:c>
      <x:c r="B506" s="62" t="n">
        <x:v>46407</x:v>
      </x:c>
      <x:c r="C506" s="64" t="str">
        <x:v>P3</x:v>
      </x:c>
      <x:c r="D506" s="64" t="n">
        <x:v>1</x:v>
      </x:c>
      <x:c r="E506" s="29" t="str">
        <x:v>Your child is not responsible for making parenting time feel worth it.</x:v>
      </x:c>
      <x:c r="F506" s="29" t="str">
        <x:v>Slide 1 of 6. Your child is not responsible for making parenting time feel worth it.</x:v>
      </x:c>
      <x:c r="G506" s="29" t="str">
        <x:v>editorial</x:v>
      </x:c>
      <x:c r="H506" s="29" t="str">
        <x:v>Draft — owner review</x:v>
      </x:c>
    </x:row>
    <x:row r="507" ht="84" customHeight="1">
      <x:c r="A507" s="29" t="str">
        <x:v>BTB-085</x:v>
      </x:c>
      <x:c r="B507" s="62" t="n">
        <x:v>46407</x:v>
      </x:c>
      <x:c r="C507" s="64" t="str">
        <x:v>P3</x:v>
      </x:c>
      <x:c r="D507" s="64" t="n">
        <x:v>2</x:v>
      </x:c>
      <x:c r="E507" s="29" t="str">
        <x:v>They may be tired, distracted, disappointed, or interested in something different from your carefully made plan.</x:v>
      </x:c>
      <x:c r="F507" s="29" t="str">
        <x:v>Slide 2 of 6. They may be tired, distracted, disappointed, or interested in something different from your carefully made plan.</x:v>
      </x:c>
      <x:c r="G507" s="29" t="str">
        <x:v>editorial</x:v>
      </x:c>
      <x:c r="H507" s="29" t="str">
        <x:v>Draft — owner review</x:v>
      </x:c>
    </x:row>
    <x:row r="508" ht="84" customHeight="1">
      <x:c r="A508" s="29" t="str">
        <x:v>BTB-085</x:v>
      </x:c>
      <x:c r="B508" s="62" t="n">
        <x:v>46407</x:v>
      </x:c>
      <x:c r="C508" s="64" t="str">
        <x:v>P3</x:v>
      </x:c>
      <x:c r="D508" s="64" t="n">
        <x:v>3</x:v>
      </x:c>
      <x:c r="E508" s="29" t="str">
        <x:v>That does not mean they owe you a happier reaction because you made an effort.</x:v>
      </x:c>
      <x:c r="F508" s="29" t="str">
        <x:v>Slide 3 of 6. That does not mean they owe you a happier reaction because you made an effort.</x:v>
      </x:c>
      <x:c r="G508" s="29" t="str">
        <x:v>editorial</x:v>
      </x:c>
      <x:c r="H508" s="29" t="str">
        <x:v>Draft — owner review</x:v>
      </x:c>
    </x:row>
    <x:row r="509" ht="84" customHeight="1">
      <x:c r="A509" s="29" t="str">
        <x:v>BTB-085</x:v>
      </x:c>
      <x:c r="B509" s="62" t="n">
        <x:v>46407</x:v>
      </x:c>
      <x:c r="C509" s="64" t="str">
        <x:v>P3</x:v>
      </x:c>
      <x:c r="D509" s="64" t="n">
        <x:v>4</x:v>
      </x:c>
      <x:c r="E509" s="29" t="str">
        <x:v>Adjust what is reasonable. Keep your disappointment in an adult space rather than asking the child to repair it.</x:v>
      </x:c>
      <x:c r="F509" s="29" t="str">
        <x:v>Slide 4 of 6. Adjust what is reasonable. Keep your disappointment in an adult space rather than asking the child to repair it.</x:v>
      </x:c>
      <x:c r="G509" s="29" t="str">
        <x:v>editorial</x:v>
      </x:c>
      <x:c r="H509" s="29" t="str">
        <x:v>Draft — owner review</x:v>
      </x:c>
    </x:row>
    <x:row r="510" ht="84" customHeight="1">
      <x:c r="A510" s="29" t="str">
        <x:v>BTB-085</x:v>
      </x:c>
      <x:c r="B510" s="62" t="n">
        <x:v>46407</x:v>
      </x:c>
      <x:c r="C510" s="64" t="str">
        <x:v>P3</x:v>
      </x:c>
      <x:c r="D510" s="64" t="n">
        <x:v>5</x:v>
      </x:c>
      <x:c r="E510" s="29" t="str">
        <x:v>Consider their age, needs, and the day they have had. Seek guidance where difficulties are persistent or concerning.</x:v>
      </x:c>
      <x:c r="F510" s="29" t="str">
        <x:v>Slide 5 of 6. Consider their age, needs, and the day they have had. Seek guidance where difficulties are persistent or concerning.</x:v>
      </x:c>
      <x:c r="G510" s="29" t="str">
        <x:v>editorial</x:v>
      </x:c>
      <x:c r="H510" s="29" t="str">
        <x:v>Draft — owner review</x:v>
      </x:c>
    </x:row>
    <x:row r="511" ht="84" customHeight="1">
      <x:c r="A511" s="29" t="str">
        <x:v>BTB-085</x:v>
      </x:c>
      <x:c r="B511" s="62" t="n">
        <x:v>46407</x:v>
      </x:c>
      <x:c r="C511" s="64" t="str">
        <x:v>P3</x:v>
      </x:c>
      <x:c r="D511" s="64" t="n">
        <x:v>6</x:v>
      </x:c>
      <x:c r="E511" s="29" t="str">
        <x:v>Send this to a parent learning to separate loving effort from a required response.</x:v>
      </x:c>
      <x:c r="F511" s="29" t="str">
        <x:v>Slide 6 of 6. Send this to a parent learning to separate loving effort from a required response.</x:v>
      </x:c>
      <x:c r="G511" s="29" t="str">
        <x:v>editorial</x:v>
      </x:c>
      <x:c r="H511" s="29" t="str">
        <x:v>Draft — owner review</x:v>
      </x:c>
    </x:row>
    <x:row r="512" ht="84" customHeight="1">
      <x:c r="A512" s="29" t="str">
        <x:v>BTB-086</x:v>
      </x:c>
      <x:c r="B512" s="62" t="n">
        <x:v>46408</x:v>
      </x:c>
      <x:c r="C512" s="64" t="str">
        <x:v>P4</x:v>
      </x:c>
      <x:c r="D512" s="64" t="n">
        <x:v>1</x:v>
      </x:c>
      <x:c r="E512" s="29" t="str">
        <x:v>You can be kind without making yourself constantly available.</x:v>
      </x:c>
      <x:c r="F512" s="29" t="str">
        <x:v>Slide 1 of 6. You can be kind without making yourself constantly available.</x:v>
      </x:c>
      <x:c r="G512" s="29" t="str">
        <x:v>contrast</x:v>
      </x:c>
      <x:c r="H512" s="29" t="str">
        <x:v>Draft — owner review</x:v>
      </x:c>
    </x:row>
    <x:row r="513" ht="84" customHeight="1">
      <x:c r="A513" s="29" t="str">
        <x:v>BTB-086</x:v>
      </x:c>
      <x:c r="B513" s="62" t="n">
        <x:v>46408</x:v>
      </x:c>
      <x:c r="C513" s="64" t="str">
        <x:v>P4</x:v>
      </x:c>
      <x:c r="D513" s="64" t="n">
        <x:v>2</x:v>
      </x:c>
      <x:c r="E513" s="29" t="str">
        <x:v>Availability is a practical limit, not a complete measure of care.</x:v>
      </x:c>
      <x:c r="F513" s="29" t="str">
        <x:v>Slide 2 of 6. Availability is a practical limit, not a complete measure of care.</x:v>
      </x:c>
      <x:c r="G513" s="29" t="str">
        <x:v>contrast</x:v>
      </x:c>
      <x:c r="H513" s="29" t="str">
        <x:v>Draft — owner review</x:v>
      </x:c>
    </x:row>
    <x:row r="514" ht="84" customHeight="1">
      <x:c r="A514" s="29" t="str">
        <x:v>BTB-086</x:v>
      </x:c>
      <x:c r="B514" s="62" t="n">
        <x:v>46408</x:v>
      </x:c>
      <x:c r="C514" s="64" t="str">
        <x:v>P4</x:v>
      </x:c>
      <x:c r="D514" s="64" t="n">
        <x:v>3</x:v>
      </x:c>
      <x:c r="E514" s="29" t="str">
        <x:v>Give a realistic answer: “I can't talk tonight. I can make time tomorrow afternoon.”</x:v>
      </x:c>
      <x:c r="F514" s="29" t="str">
        <x:v>Slide 3 of 6. Give a realistic answer: “I can't talk tonight. I can make time tomorrow afternoon.”</x:v>
      </x:c>
      <x:c r="G514" s="29" t="str">
        <x:v>contrast</x:v>
      </x:c>
      <x:c r="H514" s="29" t="str">
        <x:v>Draft — owner review</x:v>
      </x:c>
    </x:row>
    <x:row r="515" ht="84" customHeight="1">
      <x:c r="A515" s="29" t="str">
        <x:v>BTB-086</x:v>
      </x:c>
      <x:c r="B515" s="62" t="n">
        <x:v>46408</x:v>
      </x:c>
      <x:c r="C515" s="64" t="str">
        <x:v>P4</x:v>
      </x:c>
      <x:c r="D515" s="64" t="n">
        <x:v>4</x:v>
      </x:c>
      <x:c r="E515" s="29" t="str">
        <x:v>Do not promise an alternative you cannot offer. A clear limit is kinder than disappearing after an automatic yes.</x:v>
      </x:c>
      <x:c r="F515" s="29" t="str">
        <x:v>Slide 4 of 6. Do not promise an alternative you cannot offer. A clear limit is kinder than disappearing after an automatic yes.</x:v>
      </x:c>
      <x:c r="G515" s="29" t="str">
        <x:v>contrast</x:v>
      </x:c>
      <x:c r="H515" s="29" t="str">
        <x:v>Draft — owner review</x:v>
      </x:c>
    </x:row>
    <x:row r="516" ht="84" customHeight="1">
      <x:c r="A516" s="29" t="str">
        <x:v>BTB-086</x:v>
      </x:c>
      <x:c r="B516" s="62" t="n">
        <x:v>46408</x:v>
      </x:c>
      <x:c r="C516" s="64" t="str">
        <x:v>P4</x:v>
      </x:c>
      <x:c r="D516" s="64" t="n">
        <x:v>5</x:v>
      </x:c>
      <x:c r="E516" s="29" t="str">
        <x:v>Necessary caregiving, urgent safety matters, and binding responsibilities may need a different response.</x:v>
      </x:c>
      <x:c r="F516" s="29" t="str">
        <x:v>Slide 5 of 6. Necessary caregiving, urgent safety matters, and binding responsibilities may need a different response.</x:v>
      </x:c>
      <x:c r="G516" s="29" t="str">
        <x:v>contrast</x:v>
      </x:c>
      <x:c r="H516" s="29" t="str">
        <x:v>Draft — owner review</x:v>
      </x:c>
    </x:row>
    <x:row r="517" ht="84" customHeight="1">
      <x:c r="A517" s="29" t="str">
        <x:v>BTB-086</x:v>
      </x:c>
      <x:c r="B517" s="62" t="n">
        <x:v>46408</x:v>
      </x:c>
      <x:c r="C517" s="64" t="str">
        <x:v>P4</x:v>
      </x:c>
      <x:c r="D517" s="64" t="n">
        <x:v>6</x:v>
      </x:c>
      <x:c r="E517" s="29" t="str">
        <x:v>Share this with someone who confuses having limits with letting everyone down.</x:v>
      </x:c>
      <x:c r="F517" s="29" t="str">
        <x:v>Slide 6 of 6. Share this with someone who confuses having limits with letting everyone down.</x:v>
      </x:c>
      <x:c r="G517" s="29" t="str">
        <x:v>contrast</x:v>
      </x:c>
      <x:c r="H517" s="29" t="str">
        <x:v>Draft — owner review</x:v>
      </x:c>
    </x:row>
    <x:row r="518" ht="84" customHeight="1">
      <x:c r="A518" s="29" t="str">
        <x:v>BTB-087</x:v>
      </x:c>
      <x:c r="B518" s="62" t="n">
        <x:v>46409</x:v>
      </x:c>
      <x:c r="C518" s="64" t="str">
        <x:v>P5</x:v>
      </x:c>
      <x:c r="D518" s="64" t="n">
        <x:v>1</x:v>
      </x:c>
      <x:c r="E518" s="29" t="str">
        <x:v>When everything needs money, begin with a complete list—not a panic purchase.</x:v>
      </x:c>
      <x:c r="F518" s="29" t="str">
        <x:v>Slide 1 of 6. When everything needs money, begin with a complete list—not a panic purchase.</x:v>
      </x:c>
      <x:c r="G518" s="29" t="str">
        <x:v>checklist</x:v>
      </x:c>
      <x:c r="H518" s="29" t="str">
        <x:v>Draft — owner review</x:v>
      </x:c>
    </x:row>
    <x:row r="519" ht="84" customHeight="1">
      <x:c r="A519" s="29" t="str">
        <x:v>BTB-087</x:v>
      </x:c>
      <x:c r="B519" s="62" t="n">
        <x:v>46409</x:v>
      </x:c>
      <x:c r="C519" s="64" t="str">
        <x:v>P5</x:v>
      </x:c>
      <x:c r="D519" s="64" t="n">
        <x:v>2</x:v>
      </x:c>
      <x:c r="E519" s="29" t="str">
        <x:v>Separate essential obligations, necessary maintenance, and optional changes you hope will make life feel better.</x:v>
      </x:c>
      <x:c r="F519" s="29" t="str">
        <x:v>Slide 2 of 6. Separate essential obligations, necessary maintenance, and optional changes you hope will make life feel better.</x:v>
      </x:c>
      <x:c r="G519" s="29" t="str">
        <x:v>checklist</x:v>
      </x:c>
      <x:c r="H519" s="29" t="str">
        <x:v>Draft — owner review</x:v>
      </x:c>
    </x:row>
    <x:row r="520" ht="84" customHeight="1">
      <x:c r="A520" s="29" t="str">
        <x:v>BTB-087</x:v>
      </x:c>
      <x:c r="B520" s="62" t="n">
        <x:v>46409</x:v>
      </x:c>
      <x:c r="C520" s="64" t="str">
        <x:v>P5</x:v>
      </x:c>
      <x:c r="D520" s="64" t="n">
        <x:v>3</x:v>
      </x:c>
      <x:c r="E520" s="29" t="str">
        <x:v>Record actual amounts and deadlines where known. Mark estimates clearly.</x:v>
      </x:c>
      <x:c r="F520" s="29" t="str">
        <x:v>Slide 3 of 6. Record actual amounts and deadlines where known. Mark estimates clearly.</x:v>
      </x:c>
      <x:c r="G520" s="29" t="str">
        <x:v>checklist</x:v>
      </x:c>
      <x:c r="H520" s="29" t="str">
        <x:v>Draft — owner review</x:v>
      </x:c>
    </x:row>
    <x:row r="521" ht="84" customHeight="1">
      <x:c r="A521" s="29" t="str">
        <x:v>BTB-087</x:v>
      </x:c>
      <x:c r="B521" s="62" t="n">
        <x:v>46409</x:v>
      </x:c>
      <x:c r="C521" s="64" t="str">
        <x:v>P5</x:v>
      </x:c>
      <x:c r="D521" s="64" t="n">
        <x:v>4</x:v>
      </x:c>
      <x:c r="E521" s="29" t="str">
        <x:v>Take financial, debt, or legal questions to a qualified person who can review your circumstances.</x:v>
      </x:c>
      <x:c r="F521" s="29" t="str">
        <x:v>Slide 4 of 6. Take financial, debt, or legal questions to a qualified person who can review your circumstances.</x:v>
      </x:c>
      <x:c r="G521" s="29" t="str">
        <x:v>checklist</x:v>
      </x:c>
      <x:c r="H521" s="29" t="str">
        <x:v>Draft — owner review</x:v>
      </x:c>
    </x:row>
    <x:row r="522" ht="84" customHeight="1">
      <x:c r="A522" s="29" t="str">
        <x:v>BTB-087</x:v>
      </x:c>
      <x:c r="B522" s="62" t="n">
        <x:v>46409</x:v>
      </x:c>
      <x:c r="C522" s="64" t="str">
        <x:v>P5</x:v>
      </x:c>
      <x:c r="D522" s="64" t="n">
        <x:v>5</x:v>
      </x:c>
      <x:c r="E522" s="29" t="str">
        <x:v>Avoid making a major commitment simply to escape the feeling of being stuck today.</x:v>
      </x:c>
      <x:c r="F522" s="29" t="str">
        <x:v>Slide 5 of 6. Avoid making a major commitment simply to escape the feeling of being stuck today.</x:v>
      </x:c>
      <x:c r="G522" s="29" t="str">
        <x:v>checklist</x:v>
      </x:c>
      <x:c r="H522" s="29" t="str">
        <x:v>Draft — owner review</x:v>
      </x:c>
    </x:row>
    <x:row r="523" ht="84" customHeight="1">
      <x:c r="A523" s="29" t="str">
        <x:v>BTB-087</x:v>
      </x:c>
      <x:c r="B523" s="62" t="n">
        <x:v>46409</x:v>
      </x:c>
      <x:c r="C523" s="64" t="str">
        <x:v>P5</x:v>
      </x:c>
      <x:c r="D523" s="64" t="n">
        <x:v>6</x:v>
      </x:c>
      <x:c r="E523" s="29" t="str">
        <x:v>Save this reminder: clarity first, commitments second, appropriate advice where needed.</x:v>
      </x:c>
      <x:c r="F523" s="29" t="str">
        <x:v>Slide 6 of 6. Save this reminder: clarity first, commitments second, appropriate advice where needed.</x:v>
      </x:c>
      <x:c r="G523" s="29" t="str">
        <x:v>checklist</x:v>
      </x:c>
      <x:c r="H523" s="29" t="str">
        <x:v>Draft — owner review</x:v>
      </x:c>
    </x:row>
    <x:row r="524" ht="84" customHeight="1">
      <x:c r="A524" s="29" t="str">
        <x:v>BTB-088</x:v>
      </x:c>
      <x:c r="B524" s="62" t="n">
        <x:v>46410</x:v>
      </x:c>
      <x:c r="C524" s="64" t="str">
        <x:v>P1</x:v>
      </x:c>
      <x:c r="D524" s="64" t="n">
        <x:v>1</x:v>
      </x:c>
      <x:c r="E524" s="29" t="str">
        <x:v>A smaller life for a season is not a smaller human being.</x:v>
      </x:c>
      <x:c r="F524" s="29" t="str">
        <x:v>Slide 1 of 6. A smaller life for a season is not a smaller human being.</x:v>
      </x:c>
      <x:c r="G524" s="29" t="str">
        <x:v>editorial</x:v>
      </x:c>
      <x:c r="H524" s="29" t="str">
        <x:v>Draft — owner review</x:v>
      </x:c>
    </x:row>
    <x:row r="525" ht="84" customHeight="1">
      <x:c r="A525" s="29" t="str">
        <x:v>BTB-088</x:v>
      </x:c>
      <x:c r="B525" s="62" t="n">
        <x:v>46410</x:v>
      </x:c>
      <x:c r="C525" s="64" t="str">
        <x:v>P1</x:v>
      </x:c>
      <x:c r="D525" s="64" t="n">
        <x:v>2</x:v>
      </x:c>
      <x:c r="E525" s="29" t="str">
        <x:v>Your world may temporarily revolve around essential work, parenting, appointments, and keeping things manageable.</x:v>
      </x:c>
      <x:c r="F525" s="29" t="str">
        <x:v>Slide 2 of 6. Your world may temporarily revolve around essential work, parenting, appointments, and keeping things manageable.</x:v>
      </x:c>
      <x:c r="G525" s="29" t="str">
        <x:v>editorial</x:v>
      </x:c>
      <x:c r="H525" s="29" t="str">
        <x:v>Draft — owner review</x:v>
      </x:c>
    </x:row>
    <x:row r="526" ht="84" customHeight="1">
      <x:c r="A526" s="29" t="str">
        <x:v>BTB-088</x:v>
      </x:c>
      <x:c r="B526" s="62" t="n">
        <x:v>46410</x:v>
      </x:c>
      <x:c r="C526" s="64" t="str">
        <x:v>P1</x:v>
      </x:c>
      <x:c r="D526" s="64" t="n">
        <x:v>3</x:v>
      </x:c>
      <x:c r="E526" s="29" t="str">
        <x:v>You can recognise that this is a demanding season without treating it as the maximum size of your future.</x:v>
      </x:c>
      <x:c r="F526" s="29" t="str">
        <x:v>Slide 3 of 6. You can recognise that this is a demanding season without treating it as the maximum size of your future.</x:v>
      </x:c>
      <x:c r="G526" s="29" t="str">
        <x:v>editorial</x:v>
      </x:c>
      <x:c r="H526" s="29" t="str">
        <x:v>Draft — owner review</x:v>
      </x:c>
    </x:row>
    <x:row r="527" ht="84" customHeight="1">
      <x:c r="A527" s="29" t="str">
        <x:v>BTB-088</x:v>
      </x:c>
      <x:c r="B527" s="62" t="n">
        <x:v>46410</x:v>
      </x:c>
      <x:c r="C527" s="64" t="str">
        <x:v>P1</x:v>
      </x:c>
      <x:c r="D527" s="64" t="n">
        <x:v>4</x:v>
      </x:c>
      <x:c r="E527" s="29" t="str">
        <x:v>Keep one small connection to something beyond the immediate responsibilities.</x:v>
      </x:c>
      <x:c r="F527" s="29" t="str">
        <x:v>Slide 4 of 6. Keep one small connection to something beyond the immediate responsibilities.</x:v>
      </x:c>
      <x:c r="G527" s="29" t="str">
        <x:v>editorial</x:v>
      </x:c>
      <x:c r="H527" s="29" t="str">
        <x:v>Draft — owner review</x:v>
      </x:c>
    </x:row>
    <x:row r="528" ht="84" customHeight="1">
      <x:c r="A528" s="29" t="str">
        <x:v>BTB-088</x:v>
      </x:c>
      <x:c r="B528" s="62" t="n">
        <x:v>46410</x:v>
      </x:c>
      <x:c r="C528" s="64" t="str">
        <x:v>P1</x:v>
      </x:c>
      <x:c r="D528" s="64" t="n">
        <x:v>5</x:v>
      </x:c>
      <x:c r="E528" s="29" t="str">
        <x:v>It does not need to be ambitious. It needs to remind you that there are parts of life still available to explore.</x:v>
      </x:c>
      <x:c r="F528" s="29" t="str">
        <x:v>Slide 5 of 6. It does not need to be ambitious. It needs to remind you that there are parts of life still available to explore.</x:v>
      </x:c>
      <x:c r="G528" s="29" t="str">
        <x:v>editorial</x:v>
      </x:c>
      <x:c r="H528" s="29" t="str">
        <x:v>Draft — owner review</x:v>
      </x:c>
    </x:row>
    <x:row r="529" ht="84" customHeight="1">
      <x:c r="A529" s="29" t="str">
        <x:v>BTB-088</x:v>
      </x:c>
      <x:c r="B529" s="62" t="n">
        <x:v>46410</x:v>
      </x:c>
      <x:c r="C529" s="64" t="str">
        <x:v>P1</x:v>
      </x:c>
      <x:c r="D529" s="64" t="n">
        <x:v>6</x:v>
      </x:c>
      <x:c r="E529" s="29" t="str">
        <x:v>Send this to someone whose present circumstances are starting to feel like a permanent identity.</x:v>
      </x:c>
      <x:c r="F529" s="29" t="str">
        <x:v>Slide 6 of 6. Send this to someone whose present circumstances are starting to feel like a permanent identity.</x:v>
      </x:c>
      <x:c r="G529" s="29" t="str">
        <x:v>editorial</x:v>
      </x:c>
      <x:c r="H529" s="29" t="str">
        <x:v>Draft — owner review</x:v>
      </x:c>
    </x:row>
    <x:row r="530" ht="84" customHeight="1">
      <x:c r="A530" s="29" t="str">
        <x:v>BTB-089</x:v>
      </x:c>
      <x:c r="B530" s="62" t="n">
        <x:v>46411</x:v>
      </x:c>
      <x:c r="C530" s="64" t="str">
        <x:v>P2</x:v>
      </x:c>
      <x:c r="D530" s="64" t="n">
        <x:v>1</x:v>
      </x:c>
      <x:c r="E530" s="29" t="str">
        <x:v>Keep a record of what helped—not a score of how well you healed.</x:v>
      </x:c>
      <x:c r="F530" s="29" t="str">
        <x:v>Slide 1 of 6. Keep a record of what helped—not a score of how well you healed.</x:v>
      </x:c>
      <x:c r="G530" s="29" t="str">
        <x:v>checklist</x:v>
      </x:c>
      <x:c r="H530" s="29" t="str">
        <x:v>Draft — owner review</x:v>
      </x:c>
    </x:row>
    <x:row r="531" ht="84" customHeight="1">
      <x:c r="A531" s="29" t="str">
        <x:v>BTB-089</x:v>
      </x:c>
      <x:c r="B531" s="62" t="n">
        <x:v>46411</x:v>
      </x:c>
      <x:c r="C531" s="64" t="str">
        <x:v>P2</x:v>
      </x:c>
      <x:c r="D531" s="64" t="n">
        <x:v>2</x:v>
      </x:c>
      <x:c r="E531" s="29" t="str">
        <x:v>A simple note can reveal which options were useful on different kinds of days.</x:v>
      </x:c>
      <x:c r="F531" s="29" t="str">
        <x:v>Slide 2 of 6. A simple note can reveal which options were useful on different kinds of days.</x:v>
      </x:c>
      <x:c r="G531" s="29" t="str">
        <x:v>checklist</x:v>
      </x:c>
      <x:c r="H531" s="29" t="str">
        <x:v>Draft — owner review</x:v>
      </x:c>
    </x:row>
    <x:row r="532" ht="84" customHeight="1">
      <x:c r="A532" s="29" t="str">
        <x:v>BTB-089</x:v>
      </x:c>
      <x:c r="B532" s="62" t="n">
        <x:v>46411</x:v>
      </x:c>
      <x:c r="C532" s="64" t="str">
        <x:v>P2</x:v>
      </x:c>
      <x:c r="D532" s="64" t="n">
        <x:v>3</x:v>
      </x:c>
      <x:c r="E532" s="29" t="str">
        <x:v>Write the situation, what you tried, and whether it helped a little, not at all, or made things harder.</x:v>
      </x:c>
      <x:c r="F532" s="29" t="str">
        <x:v>Slide 3 of 6. Write the situation, what you tried, and whether it helped a little, not at all, or made things harder.</x:v>
      </x:c>
      <x:c r="G532" s="29" t="str">
        <x:v>checklist</x:v>
      </x:c>
      <x:c r="H532" s="29" t="str">
        <x:v>Draft — owner review</x:v>
      </x:c>
    </x:row>
    <x:row r="533" ht="84" customHeight="1">
      <x:c r="A533" s="29" t="str">
        <x:v>BTB-089</x:v>
      </x:c>
      <x:c r="B533" s="62" t="n">
        <x:v>46411</x:v>
      </x:c>
      <x:c r="C533" s="64" t="str">
        <x:v>P2</x:v>
      </x:c>
      <x:c r="D533" s="64" t="n">
        <x:v>4</x:v>
      </x:c>
      <x:c r="E533" s="29" t="str">
        <x:v>Use the notes to choose future support, not to demand the same result every time.</x:v>
      </x:c>
      <x:c r="F533" s="29" t="str">
        <x:v>Slide 4 of 6. Use the notes to choose future support, not to demand the same result every time.</x:v>
      </x:c>
      <x:c r="G533" s="29" t="str">
        <x:v>checklist</x:v>
      </x:c>
      <x:c r="H533" s="29" t="str">
        <x:v>Draft — owner review</x:v>
      </x:c>
    </x:row>
    <x:row r="534" ht="84" customHeight="1">
      <x:c r="A534" s="29" t="str">
        <x:v>BTB-089</x:v>
      </x:c>
      <x:c r="B534" s="62" t="n">
        <x:v>46411</x:v>
      </x:c>
      <x:c r="C534" s="64" t="str">
        <x:v>P2</x:v>
      </x:c>
      <x:c r="D534" s="64" t="n">
        <x:v>5</x:v>
      </x:c>
      <x:c r="E534" s="29" t="str">
        <x:v>Bring recurring difficulties to a qualified professional. A personal note is not a clinical assessment.</x:v>
      </x:c>
      <x:c r="F534" s="29" t="str">
        <x:v>Slide 5 of 6. Bring recurring difficulties to a qualified professional. A personal note is not a clinical assessment.</x:v>
      </x:c>
      <x:c r="G534" s="29" t="str">
        <x:v>checklist</x:v>
      </x:c>
      <x:c r="H534" s="29" t="str">
        <x:v>Draft — owner review</x:v>
      </x:c>
    </x:row>
    <x:row r="535" ht="84" customHeight="1">
      <x:c r="A535" s="29" t="str">
        <x:v>BTB-089</x:v>
      </x:c>
      <x:c r="B535" s="62" t="n">
        <x:v>46411</x:v>
      </x:c>
      <x:c r="C535" s="64" t="str">
        <x:v>P2</x:v>
      </x:c>
      <x:c r="D535" s="64" t="n">
        <x:v>6</x:v>
      </x:c>
      <x:c r="E535" s="29" t="str">
        <x:v>Save this idea for building a more realistic set of options over time.</x:v>
      </x:c>
      <x:c r="F535" s="29" t="str">
        <x:v>Slide 6 of 6. Save this idea for building a more realistic set of options over time.</x:v>
      </x:c>
      <x:c r="G535" s="29" t="str">
        <x:v>checklist</x:v>
      </x:c>
      <x:c r="H535" s="29" t="str">
        <x:v>Draft — owner review</x:v>
      </x:c>
    </x:row>
    <x:row r="536" ht="84" customHeight="1">
      <x:c r="A536" s="29" t="str">
        <x:v>BTB-090</x:v>
      </x:c>
      <x:c r="B536" s="62" t="n">
        <x:v>46412</x:v>
      </x:c>
      <x:c r="C536" s="64" t="str">
        <x:v>P6</x:v>
      </x:c>
      <x:c r="D536" s="64" t="n">
        <x:v>1</x:v>
      </x:c>
      <x:c r="E536" s="29" t="str">
        <x:v>I will not tell you I handled every difficult conversation perfectly.</x:v>
      </x:c>
      <x:c r="F536" s="29" t="str">
        <x:v>Slide 1 of 6. I will not tell you I handled every difficult conversation perfectly.</x:v>
      </x:c>
      <x:c r="G536" s="29" t="str">
        <x:v>letter</x:v>
      </x:c>
      <x:c r="H536" s="29" t="str">
        <x:v>Draft — owner review</x:v>
      </x:c>
    </x:row>
    <x:row r="537" ht="84" customHeight="1">
      <x:c r="A537" s="29" t="str">
        <x:v>BTB-090</x:v>
      </x:c>
      <x:c r="B537" s="62" t="n">
        <x:v>46412</x:v>
      </x:c>
      <x:c r="C537" s="64" t="str">
        <x:v>P6</x:v>
      </x:c>
      <x:c r="D537" s="64" t="n">
        <x:v>2</x:v>
      </x:c>
      <x:c r="E537" s="29" t="str">
        <x:v>The experience behind this page includes real pressure, complicated responsibilities, and a need to keep learning.</x:v>
      </x:c>
      <x:c r="F537" s="29" t="str">
        <x:v>Slide 2 of 6. The experience behind this page includes real pressure, complicated responsibilities, and a need to keep learning.</x:v>
      </x:c>
      <x:c r="G537" s="29" t="str">
        <x:v>letter</x:v>
      </x:c>
      <x:c r="H537" s="29" t="str">
        <x:v>Draft — owner review</x:v>
      </x:c>
    </x:row>
    <x:row r="538" ht="84" customHeight="1">
      <x:c r="A538" s="29" t="str">
        <x:v>BTB-090</x:v>
      </x:c>
      <x:c r="B538" s="62" t="n">
        <x:v>46412</x:v>
      </x:c>
      <x:c r="C538" s="64" t="str">
        <x:v>P6</x:v>
      </x:c>
      <x:c r="D538" s="64" t="n">
        <x:v>3</x:v>
      </x:c>
      <x:c r="E538" s="29" t="str">
        <x:v>A clearer script is a suggested next choice. It is not evidence that my past choices were always clear.</x:v>
      </x:c>
      <x:c r="F538" s="29" t="str">
        <x:v>Slide 3 of 6. A clearer script is a suggested next choice. It is not evidence that my past choices were always clear.</x:v>
      </x:c>
      <x:c r="G538" s="29" t="str">
        <x:v>letter</x:v>
      </x:c>
      <x:c r="H538" s="29" t="str">
        <x:v>Draft — owner review</x:v>
      </x:c>
    </x:row>
    <x:row r="539" ht="84" customHeight="1">
      <x:c r="A539" s="29" t="str">
        <x:v>BTB-090</x:v>
      </x:c>
      <x:c r="B539" s="62" t="n">
        <x:v>46412</x:v>
      </x:c>
      <x:c r="C539" s="64" t="str">
        <x:v>P6</x:v>
      </x:c>
      <x:c r="D539" s="64" t="n">
        <x:v>4</x:v>
      </x:c>
      <x:c r="E539" s="29" t="str">
        <x:v>I want accountability here without self-hatred, and honesty without turning another person into a target.</x:v>
      </x:c>
      <x:c r="F539" s="29" t="str">
        <x:v>Slide 4 of 6. I want accountability here without self-hatred, and honesty without turning another person into a target.</x:v>
      </x:c>
      <x:c r="G539" s="29" t="str">
        <x:v>letter</x:v>
      </x:c>
      <x:c r="H539" s="29" t="str">
        <x:v>Draft — owner review</x:v>
      </x:c>
    </x:row>
    <x:row r="540" ht="84" customHeight="1">
      <x:c r="A540" s="29" t="str">
        <x:v>BTB-090</x:v>
      </x:c>
      <x:c r="B540" s="62" t="n">
        <x:v>46412</x:v>
      </x:c>
      <x:c r="C540" s="64" t="str">
        <x:v>P6</x:v>
      </x:c>
      <x:c r="D540" s="64" t="n">
        <x:v>5</x:v>
      </x:c>
      <x:c r="E540" s="29" t="str">
        <x:v>That means leaving room to revise a view when the facts or a better understanding require it.</x:v>
      </x:c>
      <x:c r="F540" s="29" t="str">
        <x:v>Slide 5 of 6. That means leaving room to revise a view when the facts or a better understanding require it.</x:v>
      </x:c>
      <x:c r="G540" s="29" t="str">
        <x:v>letter</x:v>
      </x:c>
      <x:c r="H540" s="29" t="str">
        <x:v>Draft — owner review</x:v>
      </x:c>
    </x:row>
    <x:row r="541" ht="84" customHeight="1">
      <x:c r="A541" s="29" t="str">
        <x:v>BTB-090</x:v>
      </x:c>
      <x:c r="B541" s="62" t="n">
        <x:v>46412</x:v>
      </x:c>
      <x:c r="C541" s="64" t="str">
        <x:v>P6</x:v>
      </x:c>
      <x:c r="D541" s="64" t="n">
        <x:v>6</x:v>
      </x:c>
      <x:c r="E541" s="29" t="str">
        <x:v>Follow for a voice that can learn, not a character who must always be right.</x:v>
      </x:c>
      <x:c r="F541" s="29" t="str">
        <x:v>Slide 6 of 6. Follow for a voice that can learn, not a character who must always be right.</x:v>
      </x:c>
      <x:c r="G541" s="29" t="str">
        <x:v>letter</x:v>
      </x:c>
      <x:c r="H541" s="29" t="str">
        <x:v>Draft — owner review</x:v>
      </x:c>
    </x:row>
    <x:row r="542" ht="84" customHeight="1">
      <x:c r="A542" s="29" t="str">
        <x:v>BTB-091</x:v>
      </x:c>
      <x:c r="B542" s="62" t="n">
        <x:v>46413</x:v>
      </x:c>
      <x:c r="C542" s="64" t="str">
        <x:v>P1</x:v>
      </x:c>
      <x:c r="D542" s="64" t="n">
        <x:v>1</x:v>
      </x:c>
      <x:c r="E542" s="29" t="str">
        <x:v>Your introduction does not have to begin with what went wrong.</x:v>
      </x:c>
      <x:c r="F542" s="29" t="str">
        <x:v>Slide 1 of 6. Your introduction does not have to begin with what went wrong.</x:v>
      </x:c>
      <x:c r="G542" s="29" t="str">
        <x:v>editorial</x:v>
      </x:c>
      <x:c r="H542" s="29" t="str">
        <x:v>Draft — owner review</x:v>
      </x:c>
    </x:row>
    <x:row r="543" ht="84" customHeight="1">
      <x:c r="A543" s="29" t="str">
        <x:v>BTB-091</x:v>
      </x:c>
      <x:c r="B543" s="62" t="n">
        <x:v>46413</x:v>
      </x:c>
      <x:c r="C543" s="64" t="str">
        <x:v>P1</x:v>
      </x:c>
      <x:c r="D543" s="64" t="n">
        <x:v>2</x:v>
      </x:c>
      <x:c r="E543" s="29" t="str">
        <x:v>Meeting someone new can feel like deciding how much history to bring into the room.</x:v>
      </x:c>
      <x:c r="F543" s="29" t="str">
        <x:v>Slide 2 of 6. Meeting someone new can feel like deciding how much history to bring into the room.</x:v>
      </x:c>
      <x:c r="G543" s="29" t="str">
        <x:v>editorial</x:v>
      </x:c>
      <x:c r="H543" s="29" t="str">
        <x:v>Draft — owner review</x:v>
      </x:c>
    </x:row>
    <x:row r="544" ht="84" customHeight="1">
      <x:c r="A544" s="29" t="str">
        <x:v>BTB-091</x:v>
      </x:c>
      <x:c r="B544" s="62" t="n">
        <x:v>46413</x:v>
      </x:c>
      <x:c r="C544" s="64" t="str">
        <x:v>P1</x:v>
      </x:c>
      <x:c r="D544" s="64" t="n">
        <x:v>3</x:v>
      </x:c>
      <x:c r="E544" s="29" t="str">
        <x:v>You can start with an interest, your work, a question, or what brought you there.</x:v>
      </x:c>
      <x:c r="F544" s="29" t="str">
        <x:v>Slide 3 of 6. You can start with an interest, your work, a question, or what brought you there.</x:v>
      </x:c>
      <x:c r="G544" s="29" t="str">
        <x:v>editorial</x:v>
      </x:c>
      <x:c r="H544" s="29" t="str">
        <x:v>Draft — owner review</x:v>
      </x:c>
    </x:row>
    <x:row r="545" ht="84" customHeight="1">
      <x:c r="A545" s="29" t="str">
        <x:v>BTB-091</x:v>
      </x:c>
      <x:c r="B545" s="62" t="n">
        <x:v>46413</x:v>
      </x:c>
      <x:c r="C545" s="64" t="str">
        <x:v>P1</x:v>
      </x:c>
      <x:c r="D545" s="64" t="n">
        <x:v>4</x:v>
      </x:c>
      <x:c r="E545" s="29" t="str">
        <x:v>Share more as trust and relevance develop. Privacy is not dishonesty when the information is not theirs to require.</x:v>
      </x:c>
      <x:c r="F545" s="29" t="str">
        <x:v>Slide 4 of 6. Share more as trust and relevance develop. Privacy is not dishonesty when the information is not theirs to require.</x:v>
      </x:c>
      <x:c r="G545" s="29" t="str">
        <x:v>editorial</x:v>
      </x:c>
      <x:c r="H545" s="29" t="str">
        <x:v>Draft — owner review</x:v>
      </x:c>
    </x:row>
    <x:row r="546" ht="84" customHeight="1">
      <x:c r="A546" s="29" t="str">
        <x:v>BTB-091</x:v>
      </x:c>
      <x:c r="B546" s="62" t="n">
        <x:v>46413</x:v>
      </x:c>
      <x:c r="C546" s="64" t="str">
        <x:v>P1</x:v>
      </x:c>
      <x:c r="D546" s="64" t="n">
        <x:v>5</x:v>
      </x:c>
      <x:c r="E546" s="29" t="str">
        <x:v>When a fact affects a shared decision, be truthful. A short introduction and a serious commitment need different levels of disclosure.</x:v>
      </x:c>
      <x:c r="F546" s="29" t="str">
        <x:v>Slide 5 of 6. When a fact affects a shared decision, be truthful. A short introduction and a serious commitment need different levels of disclosure.</x:v>
      </x:c>
      <x:c r="G546" s="29" t="str">
        <x:v>editorial</x:v>
      </x:c>
      <x:c r="H546" s="29" t="str">
        <x:v>Draft — owner review</x:v>
      </x:c>
    </x:row>
    <x:row r="547" ht="84" customHeight="1">
      <x:c r="A547" s="29" t="str">
        <x:v>BTB-091</x:v>
      </x:c>
      <x:c r="B547" s="62" t="n">
        <x:v>46413</x:v>
      </x:c>
      <x:c r="C547" s="64" t="str">
        <x:v>P1</x:v>
      </x:c>
      <x:c r="D547" s="64" t="n">
        <x:v>6</x:v>
      </x:c>
      <x:c r="E547" s="29" t="str">
        <x:v>Share this with someone learning to meet people without presenting their whole history first.</x:v>
      </x:c>
      <x:c r="F547" s="29" t="str">
        <x:v>Slide 6 of 6. Share this with someone learning to meet people without presenting their whole history first.</x:v>
      </x:c>
      <x:c r="G547" s="29" t="str">
        <x:v>editorial</x:v>
      </x:c>
      <x:c r="H547" s="29" t="str">
        <x:v>Draft — owner review</x:v>
      </x:c>
    </x:row>
    <x:row r="548" ht="84" customHeight="1">
      <x:c r="A548" s="29" t="str">
        <x:v>BTB-092</x:v>
      </x:c>
      <x:c r="B548" s="62" t="n">
        <x:v>46414</x:v>
      </x:c>
      <x:c r="C548" s="64" t="str">
        <x:v>P2</x:v>
      </x:c>
      <x:c r="D548" s="64" t="n">
        <x:v>1</x:v>
      </x:c>
      <x:c r="E548" s="29" t="str">
        <x:v>Before asking “Why am I like this?”, ask what is happening today.</x:v>
      </x:c>
      <x:c r="F548" s="29" t="str">
        <x:v>Slide 1 of 6. Before asking “Why am I like this?”, ask what is happening today.</x:v>
      </x:c>
      <x:c r="G548" s="29" t="str">
        <x:v>checklist</x:v>
      </x:c>
      <x:c r="H548" s="29" t="str">
        <x:v>Draft — owner review</x:v>
      </x:c>
    </x:row>
    <x:row r="549" ht="84" customHeight="1">
      <x:c r="A549" s="29" t="str">
        <x:v>BTB-092</x:v>
      </x:c>
      <x:c r="B549" s="62" t="n">
        <x:v>46414</x:v>
      </x:c>
      <x:c r="C549" s="64" t="str">
        <x:v>P2</x:v>
      </x:c>
      <x:c r="D549" s="64" t="n">
        <x:v>2</x:v>
      </x:c>
      <x:c r="E549" s="29" t="str">
        <x:v>A sweeping question about your character may hide a very specific difficulty.</x:v>
      </x:c>
      <x:c r="F549" s="29" t="str">
        <x:v>Slide 2 of 6. A sweeping question about your character may hide a very specific difficulty.</x:v>
      </x:c>
      <x:c r="G549" s="29" t="str">
        <x:v>checklist</x:v>
      </x:c>
      <x:c r="H549" s="29" t="str">
        <x:v>Draft — owner review</x:v>
      </x:c>
    </x:row>
    <x:row r="550" ht="84" customHeight="1">
      <x:c r="A550" s="29" t="str">
        <x:v>BTB-092</x:v>
      </x:c>
      <x:c r="B550" s="62" t="n">
        <x:v>46414</x:v>
      </x:c>
      <x:c r="C550" s="64" t="str">
        <x:v>P2</x:v>
      </x:c>
      <x:c r="D550" s="64" t="n">
        <x:v>3</x:v>
      </x:c>
      <x:c r="E550" s="29" t="str">
        <x:v>Are you facing an unanswered decision, an overloaded schedule, a lonely evening, or an uncomfortable conversation?</x:v>
      </x:c>
      <x:c r="F550" s="29" t="str">
        <x:v>Slide 3 of 6. Are you facing an unanswered decision, an overloaded schedule, a lonely evening, or an uncomfortable conversation?</x:v>
      </x:c>
      <x:c r="G550" s="29" t="str">
        <x:v>checklist</x:v>
      </x:c>
      <x:c r="H550" s="29" t="str">
        <x:v>Draft — owner review</x:v>
      </x:c>
    </x:row>
    <x:row r="551" ht="84" customHeight="1">
      <x:c r="A551" s="29" t="str">
        <x:v>BTB-092</x:v>
      </x:c>
      <x:c r="B551" s="62" t="n">
        <x:v>46414</x:v>
      </x:c>
      <x:c r="C551" s="64" t="str">
        <x:v>P2</x:v>
      </x:c>
      <x:c r="D551" s="64" t="n">
        <x:v>4</x:v>
      </x:c>
      <x:c r="E551" s="29" t="str">
        <x:v>Name the actual situation. Then choose whether it needs information, practical help, company, or professional support.</x:v>
      </x:c>
      <x:c r="F551" s="29" t="str">
        <x:v>Slide 4 of 6. Name the actual situation. Then choose whether it needs information, practical help, company, or professional support.</x:v>
      </x:c>
      <x:c r="G551" s="29" t="str">
        <x:v>checklist</x:v>
      </x:c>
      <x:c r="H551" s="29" t="str">
        <x:v>Draft — owner review</x:v>
      </x:c>
    </x:row>
    <x:row r="552" ht="84" customHeight="1">
      <x:c r="A552" s="29" t="str">
        <x:v>BTB-092</x:v>
      </x:c>
      <x:c r="B552" s="62" t="n">
        <x:v>46414</x:v>
      </x:c>
      <x:c r="C552" s="64" t="str">
        <x:v>P2</x:v>
      </x:c>
      <x:c r="D552" s="64" t="n">
        <x:v>5</x:v>
      </x:c>
      <x:c r="E552" s="29" t="str">
        <x:v>You do not need a complete theory of yourself before addressing one immediate need.</x:v>
      </x:c>
      <x:c r="F552" s="29" t="str">
        <x:v>Slide 5 of 6. You do not need a complete theory of yourself before addressing one immediate need.</x:v>
      </x:c>
      <x:c r="G552" s="29" t="str">
        <x:v>checklist</x:v>
      </x:c>
      <x:c r="H552" s="29" t="str">
        <x:v>Draft — owner review</x:v>
      </x:c>
    </x:row>
    <x:row r="553" ht="84" customHeight="1">
      <x:c r="A553" s="29" t="str">
        <x:v>BTB-092</x:v>
      </x:c>
      <x:c r="B553" s="62" t="n">
        <x:v>46414</x:v>
      </x:c>
      <x:c r="C553" s="64" t="str">
        <x:v>P2</x:v>
      </x:c>
      <x:c r="D553" s="64" t="n">
        <x:v>6</x:v>
      </x:c>
      <x:c r="E553" s="29" t="str">
        <x:v>Save this when a difficult afternoon starts becoming an argument with your whole personality.</x:v>
      </x:c>
      <x:c r="F553" s="29" t="str">
        <x:v>Slide 6 of 6. Save this when a difficult afternoon starts becoming an argument with your whole personality.</x:v>
      </x:c>
      <x:c r="G553" s="29" t="str">
        <x:v>checklist</x:v>
      </x:c>
      <x:c r="H553" s="29" t="str">
        <x:v>Draft — owner review</x:v>
      </x:c>
    </x:row>
    <x:row r="554" ht="84" customHeight="1">
      <x:c r="A554" s="29" t="str">
        <x:v>BTB-093</x:v>
      </x:c>
      <x:c r="B554" s="62" t="n">
        <x:v>46415</x:v>
      </x:c>
      <x:c r="C554" s="64" t="str">
        <x:v>P3</x:v>
      </x:c>
      <x:c r="D554" s="64" t="n">
        <x:v>1</x:v>
      </x:c>
      <x:c r="E554" s="29" t="str">
        <x:v>A birthday is not a competition between households.</x:v>
      </x:c>
      <x:c r="F554" s="29" t="str">
        <x:v>Slide 1 of 6. A birthday is not a competition between households.</x:v>
      </x:c>
      <x:c r="G554" s="29" t="str">
        <x:v>checklist</x:v>
      </x:c>
      <x:c r="H554" s="29" t="str">
        <x:v>Draft — owner review</x:v>
      </x:c>
    </x:row>
    <x:row r="555" ht="84" customHeight="1">
      <x:c r="A555" s="29" t="str">
        <x:v>BTB-093</x:v>
      </x:c>
      <x:c r="B555" s="62" t="n">
        <x:v>46415</x:v>
      </x:c>
      <x:c r="C555" s="64" t="str">
        <x:v>P3</x:v>
      </x:c>
      <x:c r="D555" s="64" t="n">
        <x:v>2</x:v>
      </x:c>
      <x:c r="E555" s="29" t="str">
        <x:v>A celebration can become complicated when adults feel pressure to prove who cares more.</x:v>
      </x:c>
      <x:c r="F555" s="29" t="str">
        <x:v>Slide 2 of 6. A celebration can become complicated when adults feel pressure to prove who cares more.</x:v>
      </x:c>
      <x:c r="G555" s="29" t="str">
        <x:v>checklist</x:v>
      </x:c>
      <x:c r="H555" s="29" t="str">
        <x:v>Draft — owner review</x:v>
      </x:c>
    </x:row>
    <x:row r="556" ht="84" customHeight="1">
      <x:c r="A556" s="29" t="str">
        <x:v>BTB-093</x:v>
      </x:c>
      <x:c r="B556" s="62" t="n">
        <x:v>46415</x:v>
      </x:c>
      <x:c r="C556" s="64" t="str">
        <x:v>P3</x:v>
      </x:c>
      <x:c r="D556" s="64" t="n">
        <x:v>3</x:v>
      </x:c>
      <x:c r="E556" s="29" t="str">
        <x:v>Start with the child's interests, your resources, and the arrangements that apply.</x:v>
      </x:c>
      <x:c r="F556" s="29" t="str">
        <x:v>Slide 3 of 6. Start with the child's interests, your resources, and the arrangements that apply.</x:v>
      </x:c>
      <x:c r="G556" s="29" t="str">
        <x:v>checklist</x:v>
      </x:c>
      <x:c r="H556" s="29" t="str">
        <x:v>Draft — owner review</x:v>
      </x:c>
    </x:row>
    <x:row r="557" ht="84" customHeight="1">
      <x:c r="A557" s="29" t="str">
        <x:v>BTB-093</x:v>
      </x:c>
      <x:c r="B557" s="62" t="n">
        <x:v>46415</x:v>
      </x:c>
      <x:c r="C557" s="64" t="str">
        <x:v>P3</x:v>
      </x:c>
      <x:c r="D557" s="64" t="n">
        <x:v>4</x:v>
      </x:c>
      <x:c r="E557" s="29" t="str">
        <x:v>Communicate the necessary practical details through the adult channel. Do not ask the child to judge which plan is better.</x:v>
      </x:c>
      <x:c r="F557" s="29" t="str">
        <x:v>Slide 4 of 6. Communicate the necessary practical details through the adult channel. Do not ask the child to judge which plan is better.</x:v>
      </x:c>
      <x:c r="G557" s="29" t="str">
        <x:v>checklist</x:v>
      </x:c>
      <x:c r="H557" s="29" t="str">
        <x:v>Draft — owner review</x:v>
      </x:c>
    </x:row>
    <x:row r="558" ht="84" customHeight="1">
      <x:c r="A558" s="29" t="str">
        <x:v>BTB-093</x:v>
      </x:c>
      <x:c r="B558" s="62" t="n">
        <x:v>46415</x:v>
      </x:c>
      <x:c r="C558" s="64" t="str">
        <x:v>P3</x:v>
      </x:c>
      <x:c r="D558" s="64" t="n">
        <x:v>5</x:v>
      </x:c>
      <x:c r="E558" s="29" t="str">
        <x:v>Keep commitments realistic. A meaningful celebration does not require a financial or emotional contest.</x:v>
      </x:c>
      <x:c r="F558" s="29" t="str">
        <x:v>Slide 5 of 6. Keep commitments realistic. A meaningful celebration does not require a financial or emotional contest.</x:v>
      </x:c>
      <x:c r="G558" s="29" t="str">
        <x:v>checklist</x:v>
      </x:c>
      <x:c r="H558" s="29" t="str">
        <x:v>Draft — owner review</x:v>
      </x:c>
    </x:row>
    <x:row r="559" ht="84" customHeight="1">
      <x:c r="A559" s="29" t="str">
        <x:v>BTB-093</x:v>
      </x:c>
      <x:c r="B559" s="62" t="n">
        <x:v>46415</x:v>
      </x:c>
      <x:c r="C559" s="64" t="str">
        <x:v>P3</x:v>
      </x:c>
      <x:c r="D559" s="64" t="n">
        <x:v>6</x:v>
      </x:c>
      <x:c r="E559" s="29" t="str">
        <x:v>Save this before the next occasion starts carrying more adult history than a child should have to manage.</x:v>
      </x:c>
      <x:c r="F559" s="29" t="str">
        <x:v>Slide 6 of 6. Save this before the next occasion starts carrying more adult history than a child should have to manage.</x:v>
      </x:c>
      <x:c r="G559" s="29" t="str">
        <x:v>checklist</x:v>
      </x:c>
      <x:c r="H559" s="29" t="str">
        <x:v>Draft — owner review</x:v>
      </x:c>
    </x:row>
    <x:row r="560" ht="84" customHeight="1">
      <x:c r="A560" s="29" t="str">
        <x:v>BTB-094</x:v>
      </x:c>
      <x:c r="B560" s="62" t="n">
        <x:v>46416</x:v>
      </x:c>
      <x:c r="C560" s="64" t="str">
        <x:v>P4</x:v>
      </x:c>
      <x:c r="D560" s="64" t="n">
        <x:v>1</x:v>
      </x:c>
      <x:c r="E560" s="29" t="str">
        <x:v>A new person deserves to be understood—not measured against an old wound.</x:v>
      </x:c>
      <x:c r="F560" s="29" t="str">
        <x:v>Slide 1 of 6. A new person deserves to be understood—not measured against an old wound.</x:v>
      </x:c>
      <x:c r="G560" s="29" t="str">
        <x:v>contrast</x:v>
      </x:c>
      <x:c r="H560" s="29" t="str">
        <x:v>Draft — owner review</x:v>
      </x:c>
    </x:row>
    <x:row r="561" ht="84" customHeight="1">
      <x:c r="A561" s="29" t="str">
        <x:v>BTB-094</x:v>
      </x:c>
      <x:c r="B561" s="62" t="n">
        <x:v>46416</x:v>
      </x:c>
      <x:c r="C561" s="64" t="str">
        <x:v>P4</x:v>
      </x:c>
      <x:c r="D561" s="64" t="n">
        <x:v>2</x:v>
      </x:c>
      <x:c r="E561" s="29" t="str">
        <x:v>Caution after a difficult experience can make sense. Assuming the same outcome from every familiar detail may leave questions unanswered.</x:v>
      </x:c>
      <x:c r="F561" s="29" t="str">
        <x:v>Slide 2 of 6. Caution after a difficult experience can make sense. Assuming the same outcome from every familiar detail may leave questions unanswered.</x:v>
      </x:c>
      <x:c r="G561" s="29" t="str">
        <x:v>contrast</x:v>
      </x:c>
      <x:c r="H561" s="29" t="str">
        <x:v>Draft — owner review</x:v>
      </x:c>
    </x:row>
    <x:row r="562" ht="84" customHeight="1">
      <x:c r="A562" s="29" t="str">
        <x:v>BTB-094</x:v>
      </x:c>
      <x:c r="B562" s="62" t="n">
        <x:v>46416</x:v>
      </x:c>
      <x:c r="C562" s="64" t="str">
        <x:v>P4</x:v>
      </x:c>
      <x:c r="D562" s="64" t="n">
        <x:v>3</x:v>
      </x:c>
      <x:c r="E562" s="29" t="str">
        <x:v>Describe the behaviour you see now. Separate it from the history it reminds you of.</x:v>
      </x:c>
      <x:c r="F562" s="29" t="str">
        <x:v>Slide 3 of 6. Describe the behaviour you see now. Separate it from the history it reminds you of.</x:v>
      </x:c>
      <x:c r="G562" s="29" t="str">
        <x:v>contrast</x:v>
      </x:c>
      <x:c r="H562" s="29" t="str">
        <x:v>Draft — owner review</x:v>
      </x:c>
    </x:row>
    <x:row r="563" ht="84" customHeight="1">
      <x:c r="A563" s="29" t="str">
        <x:v>BTB-094</x:v>
      </x:c>
      <x:c r="B563" s="62" t="n">
        <x:v>46416</x:v>
      </x:c>
      <x:c r="C563" s="64" t="str">
        <x:v>P4</x:v>
      </x:c>
      <x:c r="D563" s="64" t="n">
        <x:v>4</x:v>
      </x:c>
      <x:c r="E563" s="29" t="str">
        <x:v>Ask clear questions and keep appropriate boundaries. You do not have to rush closeness to prove you are ready.</x:v>
      </x:c>
      <x:c r="F563" s="29" t="str">
        <x:v>Slide 4 of 6. Ask clear questions and keep appropriate boundaries. You do not have to rush closeness to prove you are ready.</x:v>
      </x:c>
      <x:c r="G563" s="29" t="str">
        <x:v>contrast</x:v>
      </x:c>
      <x:c r="H563" s="29" t="str">
        <x:v>Draft — owner review</x:v>
      </x:c>
    </x:row>
    <x:row r="564" ht="84" customHeight="1">
      <x:c r="A564" s="29" t="str">
        <x:v>BTB-094</x:v>
      </x:c>
      <x:c r="B564" s="62" t="n">
        <x:v>46416</x:v>
      </x:c>
      <x:c r="C564" s="64" t="str">
        <x:v>P4</x:v>
      </x:c>
      <x:c r="D564" s="64" t="n">
        <x:v>5</x:v>
      </x:c>
      <x:c r="E564" s="29" t="str">
        <x:v>Seek support when past experiences make present relationships difficult to navigate, especially where safety is involved.</x:v>
      </x:c>
      <x:c r="F564" s="29" t="str">
        <x:v>Slide 5 of 6. Seek support when past experiences make present relationships difficult to navigate, especially where safety is involved.</x:v>
      </x:c>
      <x:c r="G564" s="29" t="str">
        <x:v>contrast</x:v>
      </x:c>
      <x:c r="H564" s="29" t="str">
        <x:v>Draft — owner review</x:v>
      </x:c>
    </x:row>
    <x:row r="565" ht="84" customHeight="1">
      <x:c r="A565" s="29" t="str">
        <x:v>BTB-094</x:v>
      </x:c>
      <x:c r="B565" s="62" t="n">
        <x:v>46416</x:v>
      </x:c>
      <x:c r="C565" s="64" t="str">
        <x:v>P4</x:v>
      </x:c>
      <x:c r="D565" s="64" t="n">
        <x:v>6</x:v>
      </x:c>
      <x:c r="E565" s="29" t="str">
        <x:v>Send this to someone trying to stay open without abandoning good judgment.</x:v>
      </x:c>
      <x:c r="F565" s="29" t="str">
        <x:v>Slide 6 of 6. Send this to someone trying to stay open without abandoning good judgment.</x:v>
      </x:c>
      <x:c r="G565" s="29" t="str">
        <x:v>contrast</x:v>
      </x:c>
      <x:c r="H565" s="29" t="str">
        <x:v>Draft — owner review</x:v>
      </x:c>
    </x:row>
    <x:row r="566" ht="84" customHeight="1">
      <x:c r="A566" s="29" t="str">
        <x:v>BTB-095</x:v>
      </x:c>
      <x:c r="B566" s="62" t="n">
        <x:v>46417</x:v>
      </x:c>
      <x:c r="C566" s="64" t="str">
        <x:v>P5</x:v>
      </x:c>
      <x:c r="D566" s="64" t="n">
        <x:v>1</x:v>
      </x:c>
      <x:c r="E566" s="29" t="str">
        <x:v>Waiting for an answer does not have to become your only activity.</x:v>
      </x:c>
      <x:c r="F566" s="29" t="str">
        <x:v>Slide 1 of 6. Waiting for an answer does not have to become your only activity.</x:v>
      </x:c>
      <x:c r="G566" s="29" t="str">
        <x:v>checklist</x:v>
      </x:c>
      <x:c r="H566" s="29" t="str">
        <x:v>Draft — owner review</x:v>
      </x:c>
    </x:row>
    <x:row r="567" ht="84" customHeight="1">
      <x:c r="A567" s="29" t="str">
        <x:v>BTB-095</x:v>
      </x:c>
      <x:c r="B567" s="62" t="n">
        <x:v>46417</x:v>
      </x:c>
      <x:c r="C567" s="64" t="str">
        <x:v>P5</x:v>
      </x:c>
      <x:c r="D567" s="64" t="n">
        <x:v>2</x:v>
      </x:c>
      <x:c r="E567" s="29" t="str">
        <x:v>A legal, work, or administrative decision can leave part of life genuinely outside your control.</x:v>
      </x:c>
      <x:c r="F567" s="29" t="str">
        <x:v>Slide 2 of 6. A legal, work, or administrative decision can leave part of life genuinely outside your control.</x:v>
      </x:c>
      <x:c r="G567" s="29" t="str">
        <x:v>checklist</x:v>
      </x:c>
      <x:c r="H567" s="29" t="str">
        <x:v>Draft — owner review</x:v>
      </x:c>
    </x:row>
    <x:row r="568" ht="84" customHeight="1">
      <x:c r="A568" s="29" t="str">
        <x:v>BTB-095</x:v>
      </x:c>
      <x:c r="B568" s="62" t="n">
        <x:v>46417</x:v>
      </x:c>
      <x:c r="C568" s="64" t="str">
        <x:v>P5</x:v>
      </x:c>
      <x:c r="D568" s="64" t="n">
        <x:v>3</x:v>
      </x:c>
      <x:c r="E568" s="29" t="str">
        <x:v>Confirm the next follow-up point and any action you are responsible for. Get qualified guidance where needed.</x:v>
      </x:c>
      <x:c r="F568" s="29" t="str">
        <x:v>Slide 3 of 6. Confirm the next follow-up point and any action you are responsible for. Get qualified guidance where needed.</x:v>
      </x:c>
      <x:c r="G568" s="29" t="str">
        <x:v>checklist</x:v>
      </x:c>
      <x:c r="H568" s="29" t="str">
        <x:v>Draft — owner review</x:v>
      </x:c>
    </x:row>
    <x:row r="569" ht="84" customHeight="1">
      <x:c r="A569" s="29" t="str">
        <x:v>BTB-095</x:v>
      </x:c>
      <x:c r="B569" s="62" t="n">
        <x:v>46417</x:v>
      </x:c>
      <x:c r="C569" s="64" t="str">
        <x:v>P5</x:v>
      </x:c>
      <x:c r="D569" s="64" t="n">
        <x:v>4</x:v>
      </x:c>
      <x:c r="E569" s="29" t="str">
        <x:v>Make a separate list of tasks that do not depend on the answer.</x:v>
      </x:c>
      <x:c r="F569" s="29" t="str">
        <x:v>Slide 4 of 6. Make a separate list of tasks that do not depend on the answer.</x:v>
      </x:c>
      <x:c r="G569" s="29" t="str">
        <x:v>checklist</x:v>
      </x:c>
      <x:c r="H569" s="29" t="str">
        <x:v>Draft — owner review</x:v>
      </x:c>
    </x:row>
    <x:row r="570" ht="84" customHeight="1">
      <x:c r="A570" s="29" t="str">
        <x:v>BTB-095</x:v>
      </x:c>
      <x:c r="B570" s="62" t="n">
        <x:v>46417</x:v>
      </x:c>
      <x:c r="C570" s="64" t="str">
        <x:v>P5</x:v>
      </x:c>
      <x:c r="D570" s="64" t="n">
        <x:v>5</x:v>
      </x:c>
      <x:c r="E570" s="29" t="str">
        <x:v>Choose one of those tasks today. This is not pretending the uncertainty does not matter; it is making room around it.</x:v>
      </x:c>
      <x:c r="F570" s="29" t="str">
        <x:v>Slide 5 of 6. Choose one of those tasks today. This is not pretending the uncertainty does not matter; it is making room around it.</x:v>
      </x:c>
      <x:c r="G570" s="29" t="str">
        <x:v>checklist</x:v>
      </x:c>
      <x:c r="H570" s="29" t="str">
        <x:v>Draft — owner review</x:v>
      </x:c>
    </x:row>
    <x:row r="571" ht="84" customHeight="1">
      <x:c r="A571" s="29" t="str">
        <x:v>BTB-095</x:v>
      </x:c>
      <x:c r="B571" s="62" t="n">
        <x:v>46417</x:v>
      </x:c>
      <x:c r="C571" s="64" t="str">
        <x:v>P5</x:v>
      </x:c>
      <x:c r="D571" s="64" t="n">
        <x:v>6</x:v>
      </x:c>
      <x:c r="E571" s="29" t="str">
        <x:v>Save this for a waiting period that keeps swallowing the rest of the week.</x:v>
      </x:c>
      <x:c r="F571" s="29" t="str">
        <x:v>Slide 6 of 6. Save this for a waiting period that keeps swallowing the rest of the week.</x:v>
      </x:c>
      <x:c r="G571" s="29" t="str">
        <x:v>checklist</x:v>
      </x:c>
      <x:c r="H571" s="29" t="str">
        <x:v>Draft — owner review</x:v>
      </x:c>
    </x:row>
    <x:row r="572" ht="84" customHeight="1">
      <x:c r="A572" s="29" t="str">
        <x:v>BTB-096</x:v>
      </x:c>
      <x:c r="B572" s="62" t="n">
        <x:v>46418</x:v>
      </x:c>
      <x:c r="C572" s="64" t="str">
        <x:v>P1</x:v>
      </x:c>
      <x:c r="D572" s="64" t="n">
        <x:v>1</x:v>
      </x:c>
      <x:c r="E572" s="29" t="str">
        <x:v>Starting over later than expected is not the same as starting too late.</x:v>
      </x:c>
      <x:c r="F572" s="29" t="str">
        <x:v>Slide 1 of 6. Starting over later than expected is not the same as starting too late.</x:v>
      </x:c>
      <x:c r="G572" s="29" t="str">
        <x:v>editorial</x:v>
      </x:c>
      <x:c r="H572" s="29" t="str">
        <x:v>Draft — owner review</x:v>
      </x:c>
    </x:row>
    <x:row r="573" ht="84" customHeight="1">
      <x:c r="A573" s="29" t="str">
        <x:v>BTB-096</x:v>
      </x:c>
      <x:c r="B573" s="62" t="n">
        <x:v>46418</x:v>
      </x:c>
      <x:c r="C573" s="64" t="str">
        <x:v>P1</x:v>
      </x:c>
      <x:c r="D573" s="64" t="n">
        <x:v>2</x:v>
      </x:c>
      <x:c r="E573" s="29" t="str">
        <x:v>You may be comparing your life with an age-based plan you made under very different circumstances.</x:v>
      </x:c>
      <x:c r="F573" s="29" t="str">
        <x:v>Slide 2 of 6. You may be comparing your life with an age-based plan you made under very different circumstances.</x:v>
      </x:c>
      <x:c r="G573" s="29" t="str">
        <x:v>editorial</x:v>
      </x:c>
      <x:c r="H573" s="29" t="str">
        <x:v>Draft — owner review</x:v>
      </x:c>
    </x:row>
    <x:row r="574" ht="84" customHeight="1">
      <x:c r="A574" s="29" t="str">
        <x:v>BTB-096</x:v>
      </x:c>
      <x:c r="B574" s="62" t="n">
        <x:v>46418</x:v>
      </x:c>
      <x:c r="C574" s="64" t="str">
        <x:v>P1</x:v>
      </x:c>
      <x:c r="D574" s="64" t="n">
        <x:v>3</x:v>
      </x:c>
      <x:c r="E574" s="29" t="str">
        <x:v>Keep the values in that plan. Reconsider the assumptions about how and when everything must happen.</x:v>
      </x:c>
      <x:c r="F574" s="29" t="str">
        <x:v>Slide 3 of 6. Keep the values in that plan. Reconsider the assumptions about how and when everything must happen.</x:v>
      </x:c>
      <x:c r="G574" s="29" t="str">
        <x:v>editorial</x:v>
      </x:c>
      <x:c r="H574" s="29" t="str">
        <x:v>Draft — owner review</x:v>
      </x:c>
    </x:row>
    <x:row r="575" ht="84" customHeight="1">
      <x:c r="A575" s="29" t="str">
        <x:v>BTB-096</x:v>
      </x:c>
      <x:c r="B575" s="62" t="n">
        <x:v>46418</x:v>
      </x:c>
      <x:c r="C575" s="64" t="str">
        <x:v>P1</x:v>
      </x:c>
      <x:c r="D575" s="64" t="n">
        <x:v>4</x:v>
      </x:c>
      <x:c r="E575" s="29" t="str">
        <x:v>What still matters? What has changed? What is a realistic next step from where you actually are?</x:v>
      </x:c>
      <x:c r="F575" s="29" t="str">
        <x:v>Slide 4 of 6. What still matters? What has changed? What is a realistic next step from where you actually are?</x:v>
      </x:c>
      <x:c r="G575" s="29" t="str">
        <x:v>editorial</x:v>
      </x:c>
      <x:c r="H575" s="29" t="str">
        <x:v>Draft — owner review</x:v>
      </x:c>
    </x:row>
    <x:row r="576" ht="84" customHeight="1">
      <x:c r="A576" s="29" t="str">
        <x:v>BTB-096</x:v>
      </x:c>
      <x:c r="B576" s="62" t="n">
        <x:v>46418</x:v>
      </x:c>
      <x:c r="C576" s="64" t="str">
        <x:v>P1</x:v>
      </x:c>
      <x:c r="D576" s="64" t="n">
        <x:v>5</x:v>
      </x:c>
      <x:c r="E576" s="29" t="str">
        <x:v>A different route does not guarantee an easy future. It does give you something more useful than arguing with the calendar.</x:v>
      </x:c>
      <x:c r="F576" s="29" t="str">
        <x:v>Slide 5 of 6. A different route does not guarantee an easy future. It does give you something more useful than arguing with the calendar.</x:v>
      </x:c>
      <x:c r="G576" s="29" t="str">
        <x:v>editorial</x:v>
      </x:c>
      <x:c r="H576" s="29" t="str">
        <x:v>Draft — owner review</x:v>
      </x:c>
    </x:row>
    <x:row r="577" ht="84" customHeight="1">
      <x:c r="A577" s="29" t="str">
        <x:v>BTB-096</x:v>
      </x:c>
      <x:c r="B577" s="62" t="n">
        <x:v>46418</x:v>
      </x:c>
      <x:c r="C577" s="64" t="str">
        <x:v>P1</x:v>
      </x:c>
      <x:c r="D577" s="64" t="n">
        <x:v>6</x:v>
      </x:c>
      <x:c r="E577" s="29" t="str">
        <x:v>Share this with someone who thinks an unexpected chapter means they have missed their entire life.</x:v>
      </x:c>
      <x:c r="F577" s="29" t="str">
        <x:v>Slide 6 of 6. Share this with someone who thinks an unexpected chapter means they have missed their entire life.</x:v>
      </x:c>
      <x:c r="G577" s="29" t="str">
        <x:v>editorial</x:v>
      </x:c>
      <x:c r="H577" s="29" t="str">
        <x:v>Draft — owner review</x:v>
      </x:c>
    </x:row>
    <x:row r="578" ht="84" customHeight="1">
      <x:c r="A578" s="29" t="str">
        <x:v>BTB-097</x:v>
      </x:c>
      <x:c r="B578" s="62" t="n">
        <x:v>46419</x:v>
      </x:c>
      <x:c r="C578" s="64" t="str">
        <x:v>P2</x:v>
      </x:c>
      <x:c r="D578" s="64" t="n">
        <x:v>1</x:v>
      </x:c>
      <x:c r="E578" s="29" t="str">
        <x:v>You do not have to wait until things collapse to ask for help.</x:v>
      </x:c>
      <x:c r="F578" s="29" t="str">
        <x:v>Slide 1 of 6. You do not have to wait until things collapse to ask for help.</x:v>
      </x:c>
      <x:c r="G578" s="29" t="str">
        <x:v>script</x:v>
      </x:c>
      <x:c r="H578" s="29" t="str">
        <x:v>Draft — owner review</x:v>
      </x:c>
    </x:row>
    <x:row r="579" ht="84" customHeight="1">
      <x:c r="A579" s="29" t="str">
        <x:v>BTB-097</x:v>
      </x:c>
      <x:c r="B579" s="62" t="n">
        <x:v>46419</x:v>
      </x:c>
      <x:c r="C579" s="64" t="str">
        <x:v>P2</x:v>
      </x:c>
      <x:c r="D579" s="64" t="n">
        <x:v>2</x:v>
      </x:c>
      <x:c r="E579" s="29" t="str">
        <x:v>“I am still functioning” does not tell the whole story of what it costs to keep functioning.</x:v>
      </x:c>
      <x:c r="F579" s="29" t="str">
        <x:v>Slide 2 of 6. “I am still functioning” does not tell the whole story of what it costs to keep functioning.</x:v>
      </x:c>
      <x:c r="G579" s="29" t="str">
        <x:v>script</x:v>
      </x:c>
      <x:c r="H579" s="29" t="str">
        <x:v>Draft — owner review</x:v>
      </x:c>
    </x:row>
    <x:row r="580" ht="84" customHeight="1">
      <x:c r="A580" s="29" t="str">
        <x:v>BTB-097</x:v>
      </x:c>
      <x:c r="B580" s="62" t="n">
        <x:v>46419</x:v>
      </x:c>
      <x:c r="C580" s="64" t="str">
        <x:v>P2</x:v>
      </x:c>
      <x:c r="D580" s="64" t="n">
        <x:v>3</x:v>
      </x:c>
      <x:c r="E580" s="29" t="str">
        <x:v>Try: “I'm keeping up with responsibilities, but it is becoming difficult. I'd like to talk about support.”</x:v>
      </x:c>
      <x:c r="F580" s="29" t="str">
        <x:v>Slide 3 of 6. Try: “I'm keeping up with responsibilities, but it is becoming difficult. I'd like to talk about support.”</x:v>
      </x:c>
      <x:c r="G580" s="29" t="str">
        <x:v>script</x:v>
      </x:c>
      <x:c r="H580" s="29" t="str">
        <x:v>Draft — owner review</x:v>
      </x:c>
    </x:row>
    <x:row r="581" ht="84" customHeight="1">
      <x:c r="A581" s="29" t="str">
        <x:v>BTB-097</x:v>
      </x:c>
      <x:c r="B581" s="62" t="n">
        <x:v>46419</x:v>
      </x:c>
      <x:c r="C581" s="64" t="str">
        <x:v>P2</x:v>
      </x:c>
      <x:c r="D581" s="64" t="n">
        <x:v>4</x:v>
      </x:c>
      <x:c r="E581" s="29" t="str">
        <x:v>Say what is changing: concentration, sleep, relationships, daily tasks, or something else that concerns you.</x:v>
      </x:c>
      <x:c r="F581" s="29" t="str">
        <x:v>Slide 4 of 6. Say what is changing: concentration, sleep, relationships, daily tasks, or something else that concerns you.</x:v>
      </x:c>
      <x:c r="G581" s="29" t="str">
        <x:v>script</x:v>
      </x:c>
      <x:c r="H581" s="29" t="str">
        <x:v>Draft — owner review</x:v>
      </x:c>
    </x:row>
    <x:row r="582" ht="84" customHeight="1">
      <x:c r="A582" s="29" t="str">
        <x:v>BTB-097</x:v>
      </x:c>
      <x:c r="B582" s="62" t="n">
        <x:v>46419</x:v>
      </x:c>
      <x:c r="C582" s="64" t="str">
        <x:v>P2</x:v>
      </x:c>
      <x:c r="D582" s="64" t="n">
        <x:v>5</x:v>
      </x:c>
      <x:c r="E582" s="29" t="str">
        <x:v>Let a qualified professional help assess what support fits. A page like this cannot make that assessment.</x:v>
      </x:c>
      <x:c r="F582" s="29" t="str">
        <x:v>Slide 5 of 6. Let a qualified professional help assess what support fits. A page like this cannot make that assessment.</x:v>
      </x:c>
      <x:c r="G582" s="29" t="str">
        <x:v>script</x:v>
      </x:c>
      <x:c r="H582" s="29" t="str">
        <x:v>Draft — owner review</x:v>
      </x:c>
    </x:row>
    <x:row r="583" ht="84" customHeight="1">
      <x:c r="A583" s="29" t="str">
        <x:v>BTB-097</x:v>
      </x:c>
      <x:c r="B583" s="62" t="n">
        <x:v>46419</x:v>
      </x:c>
      <x:c r="C583" s="64" t="str">
        <x:v>P2</x:v>
      </x:c>
      <x:c r="D583" s="64" t="n">
        <x:v>6</x:v>
      </x:c>
      <x:c r="E583" s="29" t="str">
        <x:v>Save the wording for a conversation you have been postponing because things are not “bad enough.”</x:v>
      </x:c>
      <x:c r="F583" s="29" t="str">
        <x:v>Slide 6 of 6. Save the wording for a conversation you have been postponing because things are not “bad enough.”</x:v>
      </x:c>
      <x:c r="G583" s="29" t="str">
        <x:v>script</x:v>
      </x:c>
      <x:c r="H583" s="29" t="str">
        <x:v>Draft — owner review</x:v>
      </x:c>
    </x:row>
    <x:row r="584" ht="84" customHeight="1">
      <x:c r="A584" s="29" t="str">
        <x:v>BTB-098</x:v>
      </x:c>
      <x:c r="B584" s="62" t="n">
        <x:v>46420</x:v>
      </x:c>
      <x:c r="C584" s="64" t="str">
        <x:v>P5</x:v>
      </x:c>
      <x:c r="D584" s="64" t="n">
        <x:v>1</x:v>
      </x:c>
      <x:c r="E584" s="29" t="str">
        <x:v>Give the next application more attention than the next ten worries.</x:v>
      </x:c>
      <x:c r="F584" s="29" t="str">
        <x:v>Slide 1 of 6. Give the next application more attention than the next ten worries.</x:v>
      </x:c>
      <x:c r="G584" s="29" t="str">
        <x:v>checklist</x:v>
      </x:c>
      <x:c r="H584" s="29" t="str">
        <x:v>Draft — owner review</x:v>
      </x:c>
    </x:row>
    <x:row r="585" ht="84" customHeight="1">
      <x:c r="A585" s="29" t="str">
        <x:v>BTB-098</x:v>
      </x:c>
      <x:c r="B585" s="62" t="n">
        <x:v>46420</x:v>
      </x:c>
      <x:c r="C585" s="64" t="str">
        <x:v>P5</x:v>
      </x:c>
      <x:c r="D585" s="64" t="n">
        <x:v>2</x:v>
      </x:c>
      <x:c r="E585" s="29" t="str">
        <x:v>When work feels uncertain, imagining every possible rejection can take up the space needed for a useful action.</x:v>
      </x:c>
      <x:c r="F585" s="29" t="str">
        <x:v>Slide 2 of 6. When work feels uncertain, imagining every possible rejection can take up the space needed for a useful action.</x:v>
      </x:c>
      <x:c r="G585" s="29" t="str">
        <x:v>checklist</x:v>
      </x:c>
      <x:c r="H585" s="29" t="str">
        <x:v>Draft — owner review</x:v>
      </x:c>
    </x:row>
    <x:row r="586" ht="84" customHeight="1">
      <x:c r="A586" s="29" t="str">
        <x:v>BTB-098</x:v>
      </x:c>
      <x:c r="B586" s="62" t="n">
        <x:v>46420</x:v>
      </x:c>
      <x:c r="C586" s="64" t="str">
        <x:v>P5</x:v>
      </x:c>
      <x:c r="D586" s="64" t="n">
        <x:v>3</x:v>
      </x:c>
      <x:c r="E586" s="29" t="str">
        <x:v>Choose one suitable opportunity. Identify the requirements you genuinely meet and the evidence you can show.</x:v>
      </x:c>
      <x:c r="F586" s="29" t="str">
        <x:v>Slide 3 of 6. Choose one suitable opportunity. Identify the requirements you genuinely meet and the evidence you can show.</x:v>
      </x:c>
      <x:c r="G586" s="29" t="str">
        <x:v>checklist</x:v>
      </x:c>
      <x:c r="H586" s="29" t="str">
        <x:v>Draft — owner review</x:v>
      </x:c>
    </x:row>
    <x:row r="587" ht="84" customHeight="1">
      <x:c r="A587" s="29" t="str">
        <x:v>BTB-098</x:v>
      </x:c>
      <x:c r="B587" s="62" t="n">
        <x:v>46420</x:v>
      </x:c>
      <x:c r="C587" s="64" t="str">
        <x:v>P5</x:v>
      </x:c>
      <x:c r="D587" s="64" t="n">
        <x:v>4</x:v>
      </x:c>
      <x:c r="E587" s="29" t="str">
        <x:v>Tailor the application honestly. Do not invent experience to make the uncertainty disappear.</x:v>
      </x:c>
      <x:c r="F587" s="29" t="str">
        <x:v>Slide 4 of 6. Tailor the application honestly. Do not invent experience to make the uncertainty disappear.</x:v>
      </x:c>
      <x:c r="G587" s="29" t="str">
        <x:v>checklist</x:v>
      </x:c>
      <x:c r="H587" s="29" t="str">
        <x:v>Draft — owner review</x:v>
      </x:c>
    </x:row>
    <x:row r="588" ht="84" customHeight="1">
      <x:c r="A588" s="29" t="str">
        <x:v>BTB-098</x:v>
      </x:c>
      <x:c r="B588" s="62" t="n">
        <x:v>46420</x:v>
      </x:c>
      <x:c r="C588" s="64" t="str">
        <x:v>P5</x:v>
      </x:c>
      <x:c r="D588" s="64" t="n">
        <x:v>5</x:v>
      </x:c>
      <x:c r="E588" s="29" t="str">
        <x:v>Submit, record the follow-up point, and move to another defined task rather than refreshing endlessly.</x:v>
      </x:c>
      <x:c r="F588" s="29" t="str">
        <x:v>Slide 5 of 6. Submit, record the follow-up point, and move to another defined task rather than refreshing endlessly.</x:v>
      </x:c>
      <x:c r="G588" s="29" t="str">
        <x:v>checklist</x:v>
      </x:c>
      <x:c r="H588" s="29" t="str">
        <x:v>Draft — owner review</x:v>
      </x:c>
    </x:row>
    <x:row r="589" ht="84" customHeight="1">
      <x:c r="A589" s="29" t="str">
        <x:v>BTB-098</x:v>
      </x:c>
      <x:c r="B589" s="62" t="n">
        <x:v>46420</x:v>
      </x:c>
      <x:c r="C589" s="64" t="str">
        <x:v>P5</x:v>
      </x:c>
      <x:c r="D589" s="64" t="n">
        <x:v>6</x:v>
      </x:c>
      <x:c r="E589" s="29" t="str">
        <x:v>Save this for a job-search day that needs a manageable unit of work.</x:v>
      </x:c>
      <x:c r="F589" s="29" t="str">
        <x:v>Slide 6 of 6. Save this for a job-search day that needs a manageable unit of work.</x:v>
      </x:c>
      <x:c r="G589" s="29" t="str">
        <x:v>checklist</x:v>
      </x:c>
      <x:c r="H589" s="29" t="str">
        <x:v>Draft — owner review</x:v>
      </x:c>
    </x:row>
    <x:row r="590" ht="84" customHeight="1">
      <x:c r="A590" s="29" t="str">
        <x:v>BTB-099</x:v>
      </x:c>
      <x:c r="B590" s="62" t="n">
        <x:v>46421</x:v>
      </x:c>
      <x:c r="C590" s="64" t="str">
        <x:v>P3</x:v>
      </x:c>
      <x:c r="D590" s="64" t="n">
        <x:v>1</x:v>
      </x:c>
      <x:c r="E590" s="29" t="str">
        <x:v>Your child should not have to protect your secrets about adult conflict.</x:v>
      </x:c>
      <x:c r="F590" s="29" t="str">
        <x:v>Slide 1 of 6. Your child should not have to protect your secrets about adult conflict.</x:v>
      </x:c>
      <x:c r="G590" s="29" t="str">
        <x:v>editorial</x:v>
      </x:c>
      <x:c r="H590" s="29" t="str">
        <x:v>Draft — owner review</x:v>
      </x:c>
    </x:row>
    <x:row r="591" ht="84" customHeight="1">
      <x:c r="A591" s="29" t="str">
        <x:v>BTB-099</x:v>
      </x:c>
      <x:c r="B591" s="62" t="n">
        <x:v>46421</x:v>
      </x:c>
      <x:c r="C591" s="64" t="str">
        <x:v>P3</x:v>
      </x:c>
      <x:c r="D591" s="64" t="n">
        <x:v>2</x:v>
      </x:c>
      <x:c r="E591" s="29" t="str">
        <x:v>Asking them not to tell the other parent something can put them inside a problem they did not create.</x:v>
      </x:c>
      <x:c r="F591" s="29" t="str">
        <x:v>Slide 2 of 6. Asking them not to tell the other parent something can put them inside a problem they did not create.</x:v>
      </x:c>
      <x:c r="G591" s="29" t="str">
        <x:v>editorial</x:v>
      </x:c>
      <x:c r="H591" s="29" t="str">
        <x:v>Draft — owner review</x:v>
      </x:c>
    </x:row>
    <x:row r="592" ht="84" customHeight="1">
      <x:c r="A592" s="29" t="str">
        <x:v>BTB-099</x:v>
      </x:c>
      <x:c r="B592" s="62" t="n">
        <x:v>46421</x:v>
      </x:c>
      <x:c r="C592" s="64" t="str">
        <x:v>P3</x:v>
      </x:c>
      <x:c r="D592" s="64" t="n">
        <x:v>3</x:v>
      </x:c>
      <x:c r="E592" s="29" t="str">
        <x:v>Keep adult information in the adult channel. Do not use a child as a confidant about disputes or private relationships.</x:v>
      </x:c>
      <x:c r="F592" s="29" t="str">
        <x:v>Slide 3 of 6. Keep adult information in the adult channel. Do not use a child as a confidant about disputes or private relationships.</x:v>
      </x:c>
      <x:c r="G592" s="29" t="str">
        <x:v>editorial</x:v>
      </x:c>
      <x:c r="H592" s="29" t="str">
        <x:v>Draft — owner review</x:v>
      </x:c>
    </x:row>
    <x:row r="593" ht="84" customHeight="1">
      <x:c r="A593" s="29" t="str">
        <x:v>BTB-099</x:v>
      </x:c>
      <x:c r="B593" s="62" t="n">
        <x:v>46421</x:v>
      </x:c>
      <x:c r="C593" s="64" t="str">
        <x:v>P3</x:v>
      </x:c>
      <x:c r="D593" s="64" t="n">
        <x:v>4</x:v>
      </x:c>
      <x:c r="E593" s="29" t="str">
        <x:v>Make it clear they can speak to a trusted adult about anything that makes them feel unsafe or worried.</x:v>
      </x:c>
      <x:c r="F593" s="29" t="str">
        <x:v>Slide 4 of 6. Make it clear they can speak to a trusted adult about anything that makes them feel unsafe or worried.</x:v>
      </x:c>
      <x:c r="G593" s="29" t="str">
        <x:v>editorial</x:v>
      </x:c>
      <x:c r="H593" s="29" t="str">
        <x:v>Draft — owner review</x:v>
      </x:c>
    </x:row>
    <x:row r="594" ht="84" customHeight="1">
      <x:c r="A594" s="29" t="str">
        <x:v>BTB-099</x:v>
      </x:c>
      <x:c r="B594" s="62" t="n">
        <x:v>46421</x:v>
      </x:c>
      <x:c r="C594" s="64" t="str">
        <x:v>P3</x:v>
      </x:c>
      <x:c r="D594" s="64" t="n">
        <x:v>5</x:v>
      </x:c>
      <x:c r="E594" s="29" t="str">
        <x:v>Seek professional guidance when privacy, safeguarding, or family circumstances make the situation complicated.</x:v>
      </x:c>
      <x:c r="F594" s="29" t="str">
        <x:v>Slide 5 of 6. Seek professional guidance when privacy, safeguarding, or family circumstances make the situation complicated.</x:v>
      </x:c>
      <x:c r="G594" s="29" t="str">
        <x:v>editorial</x:v>
      </x:c>
      <x:c r="H594" s="29" t="str">
        <x:v>Draft — owner review</x:v>
      </x:c>
    </x:row>
    <x:row r="595" ht="84" customHeight="1">
      <x:c r="A595" s="29" t="str">
        <x:v>BTB-099</x:v>
      </x:c>
      <x:c r="B595" s="62" t="n">
        <x:v>46421</x:v>
      </x:c>
      <x:c r="C595" s="64" t="str">
        <x:v>P3</x:v>
      </x:c>
      <x:c r="D595" s="64" t="n">
        <x:v>6</x:v>
      </x:c>
      <x:c r="E595" s="29" t="str">
        <x:v>Share this principle: adult privacy is an adult responsibility, not a child's secret-keeping job.</x:v>
      </x:c>
      <x:c r="F595" s="29" t="str">
        <x:v>Slide 6 of 6. Share this principle: adult privacy is an adult responsibility, not a child's secret-keeping job.</x:v>
      </x:c>
      <x:c r="G595" s="29" t="str">
        <x:v>editorial</x:v>
      </x:c>
      <x:c r="H595" s="29" t="str">
        <x:v>Draft — owner review</x:v>
      </x:c>
    </x:row>
    <x:row r="596" ht="84" customHeight="1">
      <x:c r="A596" s="29" t="str">
        <x:v>BTB-100</x:v>
      </x:c>
      <x:c r="B596" s="62" t="n">
        <x:v>46422</x:v>
      </x:c>
      <x:c r="C596" s="64" t="str">
        <x:v>P4</x:v>
      </x:c>
      <x:c r="D596" s="64" t="n">
        <x:v>1</x:v>
      </x:c>
      <x:c r="E596" s="29" t="str">
        <x:v>Privacy and trust deserve a conversation—not a password test.</x:v>
      </x:c>
      <x:c r="F596" s="29" t="str">
        <x:v>Slide 1 of 6. Privacy and trust deserve a conversation—not a password test.</x:v>
      </x:c>
      <x:c r="G596" s="29" t="str">
        <x:v>contrast</x:v>
      </x:c>
      <x:c r="H596" s="29" t="str">
        <x:v>Draft — owner review</x:v>
      </x:c>
    </x:row>
    <x:row r="597" ht="84" customHeight="1">
      <x:c r="A597" s="29" t="str">
        <x:v>BTB-100</x:v>
      </x:c>
      <x:c r="B597" s="62" t="n">
        <x:v>46422</x:v>
      </x:c>
      <x:c r="C597" s="64" t="str">
        <x:v>P4</x:v>
      </x:c>
      <x:c r="D597" s="64" t="n">
        <x:v>2</x:v>
      </x:c>
      <x:c r="E597" s="29" t="str">
        <x:v>Access to a phone or account does not automatically answer every question about honesty in a relationship.</x:v>
      </x:c>
      <x:c r="F597" s="29" t="str">
        <x:v>Slide 2 of 6. Access to a phone or account does not automatically answer every question about honesty in a relationship.</x:v>
      </x:c>
      <x:c r="G597" s="29" t="str">
        <x:v>contrast</x:v>
      </x:c>
      <x:c r="H597" s="29" t="str">
        <x:v>Draft — owner review</x:v>
      </x:c>
    </x:row>
    <x:row r="598" ht="84" customHeight="1">
      <x:c r="A598" s="29" t="str">
        <x:v>BTB-100</x:v>
      </x:c>
      <x:c r="B598" s="62" t="n">
        <x:v>46422</x:v>
      </x:c>
      <x:c r="C598" s="64" t="str">
        <x:v>P4</x:v>
      </x:c>
      <x:c r="D598" s="64" t="n">
        <x:v>3</x:v>
      </x:c>
      <x:c r="E598" s="29" t="str">
        <x:v>Ask what concern you are actually trying to address and what agreement would be appropriate for both people.</x:v>
      </x:c>
      <x:c r="F598" s="29" t="str">
        <x:v>Slide 3 of 6. Ask what concern you are actually trying to address and what agreement would be appropriate for both people.</x:v>
      </x:c>
      <x:c r="G598" s="29" t="str">
        <x:v>contrast</x:v>
      </x:c>
      <x:c r="H598" s="29" t="str">
        <x:v>Draft — owner review</x:v>
      </x:c>
    </x:row>
    <x:row r="599" ht="84" customHeight="1">
      <x:c r="A599" s="29" t="str">
        <x:v>BTB-100</x:v>
      </x:c>
      <x:c r="B599" s="62" t="n">
        <x:v>46422</x:v>
      </x:c>
      <x:c r="C599" s="64" t="str">
        <x:v>P4</x:v>
      </x:c>
      <x:c r="D599" s="64" t="n">
        <x:v>4</x:v>
      </x:c>
      <x:c r="E599" s="29" t="str">
        <x:v>Do not use secret monitoring, forced access, or another person's private messages as a substitute for a safe conversation.</x:v>
      </x:c>
      <x:c r="F599" s="29" t="str">
        <x:v>Slide 4 of 6. Do not use secret monitoring, forced access, or another person's private messages as a substitute for a safe conversation.</x:v>
      </x:c>
      <x:c r="G599" s="29" t="str">
        <x:v>contrast</x:v>
      </x:c>
      <x:c r="H599" s="29" t="str">
        <x:v>Draft — owner review</x:v>
      </x:c>
    </x:row>
    <x:row r="600" ht="84" customHeight="1">
      <x:c r="A600" s="29" t="str">
        <x:v>BTB-100</x:v>
      </x:c>
      <x:c r="B600" s="62" t="n">
        <x:v>46422</x:v>
      </x:c>
      <x:c r="C600" s="64" t="str">
        <x:v>P4</x:v>
      </x:c>
      <x:c r="D600" s="64" t="n">
        <x:v>5</x:v>
      </x:c>
      <x:c r="E600" s="29" t="str">
        <x:v>If you feel controlled or unsafe, seek specialist support rather than bargaining away your privacy to reduce conflict.</x:v>
      </x:c>
      <x:c r="F600" s="29" t="str">
        <x:v>Slide 5 of 6. If you feel controlled or unsafe, seek specialist support rather than bargaining away your privacy to reduce conflict.</x:v>
      </x:c>
      <x:c r="G600" s="29" t="str">
        <x:v>contrast</x:v>
      </x:c>
      <x:c r="H600" s="29" t="str">
        <x:v>Draft — owner review</x:v>
      </x:c>
    </x:row>
    <x:row r="601" ht="84" customHeight="1">
      <x:c r="A601" s="29" t="str">
        <x:v>BTB-100</x:v>
      </x:c>
      <x:c r="B601" s="62" t="n">
        <x:v>46422</x:v>
      </x:c>
      <x:c r="C601" s="64" t="str">
        <x:v>P4</x:v>
      </x:c>
      <x:c r="D601" s="64" t="n">
        <x:v>6</x:v>
      </x:c>
      <x:c r="E601" s="29" t="str">
        <x:v>Save this for a trust conversation that is becoming a demand for surveillance.</x:v>
      </x:c>
      <x:c r="F601" s="29" t="str">
        <x:v>Slide 6 of 6. Save this for a trust conversation that is becoming a demand for surveillance.</x:v>
      </x:c>
      <x:c r="G601" s="29" t="str">
        <x:v>contrast</x:v>
      </x:c>
      <x:c r="H601" s="29" t="str">
        <x:v>Draft — owner review</x:v>
      </x:c>
    </x:row>
    <x:row r="602" ht="84" customHeight="1">
      <x:c r="A602" s="29" t="str">
        <x:v>BTB-101</x:v>
      </x:c>
      <x:c r="B602" s="62" t="n">
        <x:v>46423</x:v>
      </x:c>
      <x:c r="C602" s="64" t="str">
        <x:v>P1</x:v>
      </x:c>
      <x:c r="D602" s="64" t="n">
        <x:v>1</x:v>
      </x:c>
      <x:c r="E602" s="29" t="str">
        <x:v>You are allowed to build a life that does not prove anyone wrong.</x:v>
      </x:c>
      <x:c r="F602" s="29" t="str">
        <x:v>Slide 1 of 6. You are allowed to build a life that does not prove anyone wrong.</x:v>
      </x:c>
      <x:c r="G602" s="29" t="str">
        <x:v>editorial</x:v>
      </x:c>
      <x:c r="H602" s="29" t="str">
        <x:v>Draft — owner review</x:v>
      </x:c>
    </x:row>
    <x:row r="603" ht="84" customHeight="1">
      <x:c r="A603" s="29" t="str">
        <x:v>BTB-101</x:v>
      </x:c>
      <x:c r="B603" s="62" t="n">
        <x:v>46423</x:v>
      </x:c>
      <x:c r="C603" s="64" t="str">
        <x:v>P1</x:v>
      </x:c>
      <x:c r="D603" s="64" t="n">
        <x:v>2</x:v>
      </x:c>
      <x:c r="E603" s="29" t="str">
        <x:v>Revenge can make another person's imagined reaction the audience for every choice you make.</x:v>
      </x:c>
      <x:c r="F603" s="29" t="str">
        <x:v>Slide 2 of 6. Revenge can make another person's imagined reaction the audience for every choice you make.</x:v>
      </x:c>
      <x:c r="G603" s="29" t="str">
        <x:v>editorial</x:v>
      </x:c>
      <x:c r="H603" s="29" t="str">
        <x:v>Draft — owner review</x:v>
      </x:c>
    </x:row>
    <x:row r="604" ht="84" customHeight="1">
      <x:c r="A604" s="29" t="str">
        <x:v>BTB-101</x:v>
      </x:c>
      <x:c r="B604" s="62" t="n">
        <x:v>46423</x:v>
      </x:c>
      <x:c r="C604" s="64" t="str">
        <x:v>P1</x:v>
      </x:c>
      <x:c r="D604" s="64" t="n">
        <x:v>3</x:v>
      </x:c>
      <x:c r="E604" s="29" t="str">
        <x:v>Ask a quieter question: would I still want this if they never found out?</x:v>
      </x:c>
      <x:c r="F604" s="29" t="str">
        <x:v>Slide 3 of 6. Ask a quieter question: would I still want this if they never found out?</x:v>
      </x:c>
      <x:c r="G604" s="29" t="str">
        <x:v>editorial</x:v>
      </x:c>
      <x:c r="H604" s="29" t="str">
        <x:v>Draft — owner review</x:v>
      </x:c>
    </x:row>
    <x:row r="605" ht="84" customHeight="1">
      <x:c r="A605" s="29" t="str">
        <x:v>BTB-101</x:v>
      </x:c>
      <x:c r="B605" s="62" t="n">
        <x:v>46423</x:v>
      </x:c>
      <x:c r="C605" s="64" t="str">
        <x:v>P1</x:v>
      </x:c>
      <x:c r="D605" s="64" t="n">
        <x:v>4</x:v>
      </x:c>
      <x:c r="E605" s="29" t="str">
        <x:v>Use the answer to examine a purchase, a public post, a relationship, or a new commitment.</x:v>
      </x:c>
      <x:c r="F605" s="29" t="str">
        <x:v>Slide 4 of 6. Use the answer to examine a purchase, a public post, a relationship, or a new commitment.</x:v>
      </x:c>
      <x:c r="G605" s="29" t="str">
        <x:v>editorial</x:v>
      </x:c>
      <x:c r="H605" s="29" t="str">
        <x:v>Draft — owner review</x:v>
      </x:c>
    </x:row>
    <x:row r="606" ht="84" customHeight="1">
      <x:c r="A606" s="29" t="str">
        <x:v>BTB-101</x:v>
      </x:c>
      <x:c r="B606" s="62" t="n">
        <x:v>46423</x:v>
      </x:c>
      <x:c r="C606" s="64" t="str">
        <x:v>P1</x:v>
      </x:c>
      <x:c r="D606" s="64" t="n">
        <x:v>5</x:v>
      </x:c>
      <x:c r="E606" s="29" t="str">
        <x:v>Choose what fits your needs and values, not only what would look like a comeback.</x:v>
      </x:c>
      <x:c r="F606" s="29" t="str">
        <x:v>Slide 5 of 6. Choose what fits your needs and values, not only what would look like a comeback.</x:v>
      </x:c>
      <x:c r="G606" s="29" t="str">
        <x:v>editorial</x:v>
      </x:c>
      <x:c r="H606" s="29" t="str">
        <x:v>Draft — owner review</x:v>
      </x:c>
    </x:row>
    <x:row r="607" ht="84" customHeight="1">
      <x:c r="A607" s="29" t="str">
        <x:v>BTB-101</x:v>
      </x:c>
      <x:c r="B607" s="62" t="n">
        <x:v>46423</x:v>
      </x:c>
      <x:c r="C607" s="64" t="str">
        <x:v>P1</x:v>
      </x:c>
      <x:c r="D607" s="64" t="n">
        <x:v>6</x:v>
      </x:c>
      <x:c r="E607" s="29" t="str">
        <x:v>Send this to someone who deserves a future that is actually theirs.</x:v>
      </x:c>
      <x:c r="F607" s="29" t="str">
        <x:v>Slide 6 of 6. Send this to someone who deserves a future that is actually theirs.</x:v>
      </x:c>
      <x:c r="G607" s="29" t="str">
        <x:v>editorial</x:v>
      </x:c>
      <x:c r="H607" s="29" t="str">
        <x:v>Draft — owner review</x:v>
      </x:c>
    </x:row>
    <x:row r="608" ht="84" customHeight="1">
      <x:c r="A608" s="29" t="str">
        <x:v>BTB-102</x:v>
      </x:c>
      <x:c r="B608" s="62" t="n">
        <x:v>46424</x:v>
      </x:c>
      <x:c r="C608" s="64" t="str">
        <x:v>P2</x:v>
      </x:c>
      <x:c r="D608" s="64" t="n">
        <x:v>1</x:v>
      </x:c>
      <x:c r="E608" s="29" t="str">
        <x:v>Notice what the feed leaves you carrying after you close it.</x:v>
      </x:c>
      <x:c r="F608" s="29" t="str">
        <x:v>Slide 1 of 6. Notice what the feed leaves you carrying after you close it.</x:v>
      </x:c>
      <x:c r="G608" s="29" t="str">
        <x:v>checklist</x:v>
      </x:c>
      <x:c r="H608" s="29" t="str">
        <x:v>Draft — owner review</x:v>
      </x:c>
    </x:row>
    <x:row r="609" ht="84" customHeight="1">
      <x:c r="A609" s="29" t="str">
        <x:v>BTB-102</x:v>
      </x:c>
      <x:c r="B609" s="62" t="n">
        <x:v>46424</x:v>
      </x:c>
      <x:c r="C609" s="64" t="str">
        <x:v>P2</x:v>
      </x:c>
      <x:c r="D609" s="64" t="n">
        <x:v>2</x:v>
      </x:c>
      <x:c r="E609" s="29" t="str">
        <x:v>Some content offers useful language. Some leaves you more suspicious, ashamed, or stuck in an argument with someone absent.</x:v>
      </x:c>
      <x:c r="F609" s="29" t="str">
        <x:v>Slide 2 of 6. Some content offers useful language. Some leaves you more suspicious, ashamed, or stuck in an argument with someone absent.</x:v>
      </x:c>
      <x:c r="G609" s="29" t="str">
        <x:v>checklist</x:v>
      </x:c>
      <x:c r="H609" s="29" t="str">
        <x:v>Draft — owner review</x:v>
      </x:c>
    </x:row>
    <x:row r="610" ht="84" customHeight="1">
      <x:c r="A610" s="29" t="str">
        <x:v>BTB-102</x:v>
      </x:c>
      <x:c r="B610" s="62" t="n">
        <x:v>46424</x:v>
      </x:c>
      <x:c r="C610" s="64" t="str">
        <x:v>P2</x:v>
      </x:c>
      <x:c r="D610" s="64" t="n">
        <x:v>3</x:v>
      </x:c>
      <x:c r="E610" s="29" t="str">
        <x:v>Ask whether an account helps you understand a situation or simply repeats a feeling without adding perspective.</x:v>
      </x:c>
      <x:c r="F610" s="29" t="str">
        <x:v>Slide 3 of 6. Ask whether an account helps you understand a situation or simply repeats a feeling without adding perspective.</x:v>
      </x:c>
      <x:c r="G610" s="29" t="str">
        <x:v>checklist</x:v>
      </x:c>
      <x:c r="H610" s="29" t="str">
        <x:v>Draft — owner review</x:v>
      </x:c>
    </x:row>
    <x:row r="611" ht="84" customHeight="1">
      <x:c r="A611" s="29" t="str">
        <x:v>BTB-102</x:v>
      </x:c>
      <x:c r="B611" s="62" t="n">
        <x:v>46424</x:v>
      </x:c>
      <x:c r="C611" s="64" t="str">
        <x:v>P2</x:v>
      </x:c>
      <x:c r="D611" s="64" t="n">
        <x:v>4</x:v>
      </x:c>
      <x:c r="E611" s="29" t="str">
        <x:v>Adjust optional follows, recommendations, or time spent accordingly. Include this page in that review too.</x:v>
      </x:c>
      <x:c r="F611" s="29" t="str">
        <x:v>Slide 4 of 6. Adjust optional follows, recommendations, or time spent accordingly. Include this page in that review too.</x:v>
      </x:c>
      <x:c r="G611" s="29" t="str">
        <x:v>checklist</x:v>
      </x:c>
      <x:c r="H611" s="29" t="str">
        <x:v>Draft — owner review</x:v>
      </x:c>
    </x:row>
    <x:row r="612" ht="84" customHeight="1">
      <x:c r="A612" s="29" t="str">
        <x:v>BTB-102</x:v>
      </x:c>
      <x:c r="B612" s="62" t="n">
        <x:v>46424</x:v>
      </x:c>
      <x:c r="C612" s="64" t="str">
        <x:v>P2</x:v>
      </x:c>
      <x:c r="D612" s="64" t="n">
        <x:v>5</x:v>
      </x:c>
      <x:c r="E612" s="29" t="str">
        <x:v>Your information habits can be intentional without becoming another strict rule you must follow perfectly.</x:v>
      </x:c>
      <x:c r="F612" s="29" t="str">
        <x:v>Slide 5 of 6. Your information habits can be intentional without becoming another strict rule you must follow perfectly.</x:v>
      </x:c>
      <x:c r="G612" s="29" t="str">
        <x:v>checklist</x:v>
      </x:c>
      <x:c r="H612" s="29" t="str">
        <x:v>Draft — owner review</x:v>
      </x:c>
    </x:row>
    <x:row r="613" ht="84" customHeight="1">
      <x:c r="A613" s="29" t="str">
        <x:v>BTB-102</x:v>
      </x:c>
      <x:c r="B613" s="62" t="n">
        <x:v>46424</x:v>
      </x:c>
      <x:c r="C613" s="64" t="str">
        <x:v>P2</x:v>
      </x:c>
      <x:c r="D613" s="64" t="n">
        <x:v>6</x:v>
      </x:c>
      <x:c r="E613" s="29" t="str">
        <x:v>Save this question: what is this content helping me do with my life?</x:v>
      </x:c>
      <x:c r="F613" s="29" t="str">
        <x:v>Slide 6 of 6. Save this question: what is this content helping me do with my life?</x:v>
      </x:c>
      <x:c r="G613" s="29" t="str">
        <x:v>checklist</x:v>
      </x:c>
      <x:c r="H613" s="29" t="str">
        <x:v>Draft — owner review</x:v>
      </x:c>
    </x:row>
    <x:row r="614" ht="84" customHeight="1">
      <x:c r="A614" s="29" t="str">
        <x:v>BTB-103</x:v>
      </x:c>
      <x:c r="B614" s="62" t="n">
        <x:v>46425</x:v>
      </x:c>
      <x:c r="C614" s="64" t="str">
        <x:v>P5</x:v>
      </x:c>
      <x:c r="D614" s="64" t="n">
        <x:v>1</x:v>
      </x:c>
      <x:c r="E614" s="29" t="str">
        <x:v>Maintenance is not the opposite of progress.</x:v>
      </x:c>
      <x:c r="F614" s="29" t="str">
        <x:v>Slide 1 of 6. Maintenance is not the opposite of progress.</x:v>
      </x:c>
      <x:c r="G614" s="29" t="str">
        <x:v>contrast</x:v>
      </x:c>
      <x:c r="H614" s="29" t="str">
        <x:v>Draft — owner review</x:v>
      </x:c>
    </x:row>
    <x:row r="615" ht="84" customHeight="1">
      <x:c r="A615" s="29" t="str">
        <x:v>BTB-103</x:v>
      </x:c>
      <x:c r="B615" s="62" t="n">
        <x:v>46425</x:v>
      </x:c>
      <x:c r="C615" s="64" t="str">
        <x:v>P5</x:v>
      </x:c>
      <x:c r="D615" s="64" t="n">
        <x:v>2</x:v>
      </x:c>
      <x:c r="E615" s="29" t="str">
        <x:v>Keeping an appointment, answering an important email, or preparing tomorrow's essentials may not feel like moving forward.</x:v>
      </x:c>
      <x:c r="F615" s="29" t="str">
        <x:v>Slide 2 of 6. Keeping an appointment, answering an important email, or preparing tomorrow's essentials may not feel like moving forward.</x:v>
      </x:c>
      <x:c r="G615" s="29" t="str">
        <x:v>contrast</x:v>
      </x:c>
      <x:c r="H615" s="29" t="str">
        <x:v>Draft — owner review</x:v>
      </x:c>
    </x:row>
    <x:row r="616" ht="84" customHeight="1">
      <x:c r="A616" s="29" t="str">
        <x:v>BTB-103</x:v>
      </x:c>
      <x:c r="B616" s="62" t="n">
        <x:v>46425</x:v>
      </x:c>
      <x:c r="C616" s="64" t="str">
        <x:v>P5</x:v>
      </x:c>
      <x:c r="D616" s="64" t="n">
        <x:v>3</x:v>
      </x:c>
      <x:c r="E616" s="29" t="str">
        <x:v>It may still keep a difficult week from becoming harder.</x:v>
      </x:c>
      <x:c r="F616" s="29" t="str">
        <x:v>Slide 3 of 6. It may still keep a difficult week from becoming harder.</x:v>
      </x:c>
      <x:c r="G616" s="29" t="str">
        <x:v>contrast</x:v>
      </x:c>
      <x:c r="H616" s="29" t="str">
        <x:v>Draft — owner review</x:v>
      </x:c>
    </x:row>
    <x:row r="617" ht="84" customHeight="1">
      <x:c r="A617" s="29" t="str">
        <x:v>BTB-103</x:v>
      </x:c>
      <x:c r="B617" s="62" t="n">
        <x:v>46425</x:v>
      </x:c>
      <x:c r="C617" s="64" t="str">
        <x:v>P5</x:v>
      </x:c>
      <x:c r="D617" s="64" t="n">
        <x:v>4</x:v>
      </x:c>
      <x:c r="E617" s="29" t="str">
        <x:v>Give necessary maintenance a place in the plan instead of counting it as time stolen from your real life.</x:v>
      </x:c>
      <x:c r="F617" s="29" t="str">
        <x:v>Slide 4 of 6. Give necessary maintenance a place in the plan instead of counting it as time stolen from your real life.</x:v>
      </x:c>
      <x:c r="G617" s="29" t="str">
        <x:v>contrast</x:v>
      </x:c>
      <x:c r="H617" s="29" t="str">
        <x:v>Draft — owner review</x:v>
      </x:c>
    </x:row>
    <x:row r="618" ht="84" customHeight="1">
      <x:c r="A618" s="29" t="str">
        <x:v>BTB-103</x:v>
      </x:c>
      <x:c r="B618" s="62" t="n">
        <x:v>46425</x:v>
      </x:c>
      <x:c r="C618" s="64" t="str">
        <x:v>P5</x:v>
      </x:c>
      <x:c r="D618" s="64" t="n">
        <x:v>5</x:v>
      </x:c>
      <x:c r="E618" s="29" t="str">
        <x:v>Then choose one additional step only if there is room. Not every day needs a visible expansion.</x:v>
      </x:c>
      <x:c r="F618" s="29" t="str">
        <x:v>Slide 5 of 6. Then choose one additional step only if there is room. Not every day needs a visible expansion.</x:v>
      </x:c>
      <x:c r="G618" s="29" t="str">
        <x:v>contrast</x:v>
      </x:c>
      <x:c r="H618" s="29" t="str">
        <x:v>Draft — owner review</x:v>
      </x:c>
    </x:row>
    <x:row r="619" ht="84" customHeight="1">
      <x:c r="A619" s="29" t="str">
        <x:v>BTB-103</x:v>
      </x:c>
      <x:c r="B619" s="62" t="n">
        <x:v>46425</x:v>
      </x:c>
      <x:c r="C619" s="64" t="str">
        <x:v>P5</x:v>
      </x:c>
      <x:c r="D619" s="64" t="n">
        <x:v>6</x:v>
      </x:c>
      <x:c r="E619" s="29" t="str">
        <x:v>Share this with someone whose effort is hidden inside keeping life working.</x:v>
      </x:c>
      <x:c r="F619" s="29" t="str">
        <x:v>Slide 6 of 6. Share this with someone whose effort is hidden inside keeping life working.</x:v>
      </x:c>
      <x:c r="G619" s="29" t="str">
        <x:v>contrast</x:v>
      </x:c>
      <x:c r="H619" s="29" t="str">
        <x:v>Draft — owner review</x:v>
      </x:c>
    </x:row>
    <x:row r="620" ht="84" customHeight="1">
      <x:c r="A620" s="29" t="str">
        <x:v>BTB-104</x:v>
      </x:c>
      <x:c r="B620" s="62" t="n">
        <x:v>46426</x:v>
      </x:c>
      <x:c r="C620" s="64" t="str">
        <x:v>P6</x:v>
      </x:c>
      <x:c r="D620" s="64" t="n">
        <x:v>1</x:v>
      </x:c>
      <x:c r="E620" s="29" t="str">
        <x:v>I am choosing a quieter definition of a comeback.</x:v>
      </x:c>
      <x:c r="F620" s="29" t="str">
        <x:v>Slide 1 of 6. I am choosing a quieter definition of a comeback.</x:v>
      </x:c>
      <x:c r="G620" s="29" t="str">
        <x:v>letter</x:v>
      </x:c>
      <x:c r="H620" s="29" t="str">
        <x:v>Draft — owner review</x:v>
      </x:c>
    </x:row>
    <x:row r="621" ht="84" customHeight="1">
      <x:c r="A621" s="29" t="str">
        <x:v>BTB-104</x:v>
      </x:c>
      <x:c r="B621" s="62" t="n">
        <x:v>46426</x:v>
      </x:c>
      <x:c r="C621" s="64" t="str">
        <x:v>P6</x:v>
      </x:c>
      <x:c r="D621" s="64" t="n">
        <x:v>2</x:v>
      </x:c>
      <x:c r="E621" s="29" t="str">
        <x:v>Not a claim that everything is fixed. Not a public comparison with anyone from the past.</x:v>
      </x:c>
      <x:c r="F621" s="29" t="str">
        <x:v>Slide 2 of 6. Not a claim that everything is fixed. Not a public comparison with anyone from the past.</x:v>
      </x:c>
      <x:c r="G621" s="29" t="str">
        <x:v>letter</x:v>
      </x:c>
      <x:c r="H621" s="29" t="str">
        <x:v>Draft — owner review</x:v>
      </x:c>
    </x:row>
    <x:row r="622" ht="84" customHeight="1">
      <x:c r="A622" s="29" t="str">
        <x:v>BTB-104</x:v>
      </x:c>
      <x:c r="B622" s="62" t="n">
        <x:v>46426</x:v>
      </x:c>
      <x:c r="C622" s="64" t="str">
        <x:v>P6</x:v>
      </x:c>
      <x:c r="D622" s="64" t="n">
        <x:v>3</x:v>
      </x:c>
      <x:c r="E622" s="29" t="str">
        <x:v>For this page, a comeback can mean a clearer decision, a responsibility handled, or an honest request for help.</x:v>
      </x:c>
      <x:c r="F622" s="29" t="str">
        <x:v>Slide 3 of 6. For this page, a comeback can mean a clearer decision, a responsibility handled, or an honest request for help.</x:v>
      </x:c>
      <x:c r="G622" s="29" t="str">
        <x:v>letter</x:v>
      </x:c>
      <x:c r="H622" s="29" t="str">
        <x:v>Draft — owner review</x:v>
      </x:c>
    </x:row>
    <x:row r="623" ht="84" customHeight="1">
      <x:c r="A623" s="29" t="str">
        <x:v>BTB-104</x:v>
      </x:c>
      <x:c r="B623" s="62" t="n">
        <x:v>46426</x:v>
      </x:c>
      <x:c r="C623" s="64" t="str">
        <x:v>P6</x:v>
      </x:c>
      <x:c r="D623" s="64" t="n">
        <x:v>4</x:v>
      </x:c>
      <x:c r="E623" s="29" t="str">
        <x:v>Those are editorial values, not a report that I have mastered them all.</x:v>
      </x:c>
      <x:c r="F623" s="29" t="str">
        <x:v>Slide 4 of 6. Those are editorial values, not a report that I have mastered them all.</x:v>
      </x:c>
      <x:c r="G623" s="29" t="str">
        <x:v>letter</x:v>
      </x:c>
      <x:c r="H623" s="29" t="str">
        <x:v>Draft — owner review</x:v>
      </x:c>
    </x:row>
    <x:row r="624" ht="84" customHeight="1">
      <x:c r="A624" s="29" t="str">
        <x:v>BTB-104</x:v>
      </x:c>
      <x:c r="B624" s="62" t="n">
        <x:v>46426</x:v>
      </x:c>
      <x:c r="C624" s="64" t="str">
        <x:v>P6</x:v>
      </x:c>
      <x:c r="D624" s="64" t="n">
        <x:v>5</x:v>
      </x:c>
      <x:c r="E624" s="29" t="str">
        <x:v>I want the content to stay useful on the ordinary days when there is no dramatic result to announce.</x:v>
      </x:c>
      <x:c r="F624" s="29" t="str">
        <x:v>Slide 5 of 6. I want the content to stay useful on the ordinary days when there is no dramatic result to announce.</x:v>
      </x:c>
      <x:c r="G624" s="29" t="str">
        <x:v>letter</x:v>
      </x:c>
      <x:c r="H624" s="29" t="str">
        <x:v>Draft — owner review</x:v>
      </x:c>
    </x:row>
    <x:row r="625" ht="84" customHeight="1">
      <x:c r="A625" s="29" t="str">
        <x:v>BTB-104</x:v>
      </x:c>
      <x:c r="B625" s="62" t="n">
        <x:v>46426</x:v>
      </x:c>
      <x:c r="C625" s="64" t="str">
        <x:v>P6</x:v>
      </x:c>
      <x:c r="D625" s="64" t="n">
        <x:v>6</x:v>
      </x:c>
      <x:c r="E625" s="29" t="str">
        <x:v>Follow for rebuilding that does not need an audience to be worth doing.</x:v>
      </x:c>
      <x:c r="F625" s="29" t="str">
        <x:v>Slide 6 of 6. Follow for rebuilding that does not need an audience to be worth doing.</x:v>
      </x:c>
      <x:c r="G625" s="29" t="str">
        <x:v>letter</x:v>
      </x:c>
      <x:c r="H625" s="29" t="str">
        <x:v>Draft — owner review</x:v>
      </x:c>
    </x:row>
    <x:row r="626" ht="84" customHeight="1">
      <x:c r="A626" s="29" t="str">
        <x:v>BTB-105</x:v>
      </x:c>
      <x:c r="B626" s="62" t="n">
        <x:v>46427</x:v>
      </x:c>
      <x:c r="C626" s="64" t="str">
        <x:v>P3</x:v>
      </x:c>
      <x:c r="D626" s="64" t="n">
        <x:v>1</x:v>
      </x:c>
      <x:c r="E626" s="29" t="str">
        <x:v>A school problem is still a school problem after separation.</x:v>
      </x:c>
      <x:c r="F626" s="29" t="str">
        <x:v>Slide 1 of 6. A school problem is still a school problem after separation.</x:v>
      </x:c>
      <x:c r="G626" s="29" t="str">
        <x:v>checklist</x:v>
      </x:c>
      <x:c r="H626" s="29" t="str">
        <x:v>Draft — owner review</x:v>
      </x:c>
    </x:row>
    <x:row r="627" ht="84" customHeight="1">
      <x:c r="A627" s="29" t="str">
        <x:v>BTB-105</x:v>
      </x:c>
      <x:c r="B627" s="62" t="n">
        <x:v>46427</x:v>
      </x:c>
      <x:c r="C627" s="64" t="str">
        <x:v>P3</x:v>
      </x:c>
      <x:c r="D627" s="64" t="n">
        <x:v>2</x:v>
      </x:c>
      <x:c r="E627" s="29" t="str">
        <x:v>It can be tempting to connect every difficulty to the disagreement between adults.</x:v>
      </x:c>
      <x:c r="F627" s="29" t="str">
        <x:v>Slide 2 of 6. It can be tempting to connect every difficulty to the disagreement between adults.</x:v>
      </x:c>
      <x:c r="G627" s="29" t="str">
        <x:v>checklist</x:v>
      </x:c>
      <x:c r="H627" s="29" t="str">
        <x:v>Draft — owner review</x:v>
      </x:c>
    </x:row>
    <x:row r="628" ht="84" customHeight="1">
      <x:c r="A628" s="29" t="str">
        <x:v>BTB-105</x:v>
      </x:c>
      <x:c r="B628" s="62" t="n">
        <x:v>46427</x:v>
      </x:c>
      <x:c r="C628" s="64" t="str">
        <x:v>P3</x:v>
      </x:c>
      <x:c r="D628" s="64" t="n">
        <x:v>3</x:v>
      </x:c>
      <x:c r="E628" s="29" t="str">
        <x:v>Start with the actual concern: what has been observed, what the child needs, and what the school recommends.</x:v>
      </x:c>
      <x:c r="F628" s="29" t="str">
        <x:v>Slide 3 of 6. Start with the actual concern: what has been observed, what the child needs, and what the school recommends.</x:v>
      </x:c>
      <x:c r="G628" s="29" t="str">
        <x:v>checklist</x:v>
      </x:c>
      <x:c r="H628" s="29" t="str">
        <x:v>Draft — owner review</x:v>
      </x:c>
    </x:row>
    <x:row r="629" ht="84" customHeight="1">
      <x:c r="A629" s="29" t="str">
        <x:v>BTB-105</x:v>
      </x:c>
      <x:c r="B629" s="62" t="n">
        <x:v>46427</x:v>
      </x:c>
      <x:c r="C629" s="64" t="str">
        <x:v>P3</x:v>
      </x:c>
      <x:c r="D629" s="64" t="n">
        <x:v>4</x:v>
      </x:c>
      <x:c r="E629" s="29" t="str">
        <x:v>Keep assumptions separate from facts. Use the relevant communication and decision-making arrangements.</x:v>
      </x:c>
      <x:c r="F629" s="29" t="str">
        <x:v>Slide 4 of 6. Keep assumptions separate from facts. Use the relevant communication and decision-making arrangements.</x:v>
      </x:c>
      <x:c r="G629" s="29" t="str">
        <x:v>checklist</x:v>
      </x:c>
      <x:c r="H629" s="29" t="str">
        <x:v>Draft — owner review</x:v>
      </x:c>
    </x:row>
    <x:row r="630" ht="84" customHeight="1">
      <x:c r="A630" s="29" t="str">
        <x:v>BTB-105</x:v>
      </x:c>
      <x:c r="B630" s="62" t="n">
        <x:v>46427</x:v>
      </x:c>
      <x:c r="C630" s="64" t="str">
        <x:v>P3</x:v>
      </x:c>
      <x:c r="D630" s="64" t="n">
        <x:v>5</x:v>
      </x:c>
      <x:c r="E630" s="29" t="str">
        <x:v>Seek appropriate professional guidance rather than asking the child to confirm an adult theory.</x:v>
      </x:c>
      <x:c r="F630" s="29" t="str">
        <x:v>Slide 5 of 6. Seek appropriate professional guidance rather than asking the child to confirm an adult theory.</x:v>
      </x:c>
      <x:c r="G630" s="29" t="str">
        <x:v>checklist</x:v>
      </x:c>
      <x:c r="H630" s="29" t="str">
        <x:v>Draft — owner review</x:v>
      </x:c>
    </x:row>
    <x:row r="631" ht="84" customHeight="1">
      <x:c r="A631" s="29" t="str">
        <x:v>BTB-105</x:v>
      </x:c>
      <x:c r="B631" s="62" t="n">
        <x:v>46427</x:v>
      </x:c>
      <x:c r="C631" s="64" t="str">
        <x:v>P3</x:v>
      </x:c>
      <x:c r="D631" s="64" t="n">
        <x:v>6</x:v>
      </x:c>
      <x:c r="E631" s="29" t="str">
        <x:v>Save this reminder to solve the present problem before turning it into a wider argument.</x:v>
      </x:c>
      <x:c r="F631" s="29" t="str">
        <x:v>Slide 6 of 6. Save this reminder to solve the present problem before turning it into a wider argument.</x:v>
      </x:c>
      <x:c r="G631" s="29" t="str">
        <x:v>checklist</x:v>
      </x:c>
      <x:c r="H631" s="29" t="str">
        <x:v>Draft — owner review</x:v>
      </x:c>
    </x:row>
    <x:row r="632" ht="84" customHeight="1">
      <x:c r="A632" s="29" t="str">
        <x:v>BTB-106</x:v>
      </x:c>
      <x:c r="B632" s="62" t="n">
        <x:v>46428</x:v>
      </x:c>
      <x:c r="C632" s="64" t="str">
        <x:v>P4</x:v>
      </x:c>
      <x:c r="D632" s="64" t="n">
        <x:v>1</x:v>
      </x:c>
      <x:c r="E632" s="29" t="str">
        <x:v>You can talk about your past without making a new person hear the entire case.</x:v>
      </x:c>
      <x:c r="F632" s="29" t="str">
        <x:v>Slide 1 of 6. You can talk about your past without making a new person hear the entire case.</x:v>
      </x:c>
      <x:c r="G632" s="29" t="str">
        <x:v>script</x:v>
      </x:c>
      <x:c r="H632" s="29" t="str">
        <x:v>Draft — owner review</x:v>
      </x:c>
    </x:row>
    <x:row r="633" ht="84" customHeight="1">
      <x:c r="A633" s="29" t="str">
        <x:v>BTB-106</x:v>
      </x:c>
      <x:c r="B633" s="62" t="n">
        <x:v>46428</x:v>
      </x:c>
      <x:c r="C633" s="64" t="str">
        <x:v>P4</x:v>
      </x:c>
      <x:c r="D633" s="64" t="n">
        <x:v>2</x:v>
      </x:c>
      <x:c r="E633" s="29" t="str">
        <x:v>Early connection does not require a detailed account of someone else's private behaviour.</x:v>
      </x:c>
      <x:c r="F633" s="29" t="str">
        <x:v>Slide 2 of 6. Early connection does not require a detailed account of someone else's private behaviour.</x:v>
      </x:c>
      <x:c r="G633" s="29" t="str">
        <x:v>script</x:v>
      </x:c>
      <x:c r="H633" s="29" t="str">
        <x:v>Draft — owner review</x:v>
      </x:c>
    </x:row>
    <x:row r="634" ht="84" customHeight="1">
      <x:c r="A634" s="29" t="str">
        <x:v>BTB-106</x:v>
      </x:c>
      <x:c r="B634" s="62" t="n">
        <x:v>46428</x:v>
      </x:c>
      <x:c r="C634" s="64" t="str">
        <x:v>P4</x:v>
      </x:c>
      <x:c r="D634" s="64" t="n">
        <x:v>3</x:v>
      </x:c>
      <x:c r="E634" s="29" t="str">
        <x:v>Try: “That relationship was difficult, and I learned that clear communication and boundaries matter to me.”</x:v>
      </x:c>
      <x:c r="F634" s="29" t="str">
        <x:v>Slide 3 of 6. Try: “That relationship was difficult, and I learned that clear communication and boundaries matter to me.”</x:v>
      </x:c>
      <x:c r="G634" s="29" t="str">
        <x:v>script</x:v>
      </x:c>
      <x:c r="H634" s="29" t="str">
        <x:v>Draft — owner review</x:v>
      </x:c>
    </x:row>
    <x:row r="635" ht="84" customHeight="1">
      <x:c r="A635" s="29" t="str">
        <x:v>BTB-106</x:v>
      </x:c>
      <x:c r="B635" s="62" t="n">
        <x:v>46428</x:v>
      </x:c>
      <x:c r="C635" s="64" t="str">
        <x:v>P4</x:v>
      </x:c>
      <x:c r="D635" s="64" t="n">
        <x:v>4</x:v>
      </x:c>
      <x:c r="E635" s="29" t="str">
        <x:v>Share relevant facts honestly as the relationship develops. Leave identifying details and private correspondence out.</x:v>
      </x:c>
      <x:c r="F635" s="29" t="str">
        <x:v>Slide 4 of 6. Share relevant facts honestly as the relationship develops. Leave identifying details and private correspondence out.</x:v>
      </x:c>
      <x:c r="G635" s="29" t="str">
        <x:v>script</x:v>
      </x:c>
      <x:c r="H635" s="29" t="str">
        <x:v>Draft — owner review</x:v>
      </x:c>
    </x:row>
    <x:row r="636" ht="84" customHeight="1">
      <x:c r="A636" s="29" t="str">
        <x:v>BTB-106</x:v>
      </x:c>
      <x:c r="B636" s="62" t="n">
        <x:v>46428</x:v>
      </x:c>
      <x:c r="C636" s="64" t="str">
        <x:v>P4</x:v>
      </x:c>
      <x:c r="D636" s="64" t="n">
        <x:v>5</x:v>
      </x:c>
      <x:c r="E636" s="29" t="str">
        <x:v>A date or new friend is not a substitute for professional support with unresolved distress or legal matters.</x:v>
      </x:c>
      <x:c r="F636" s="29" t="str">
        <x:v>Slide 5 of 6. A date or new friend is not a substitute for professional support with unresolved distress or legal matters.</x:v>
      </x:c>
      <x:c r="G636" s="29" t="str">
        <x:v>script</x:v>
      </x:c>
      <x:c r="H636" s="29" t="str">
        <x:v>Draft — owner review</x:v>
      </x:c>
    </x:row>
    <x:row r="637" ht="84" customHeight="1">
      <x:c r="A637" s="29" t="str">
        <x:v>BTB-106</x:v>
      </x:c>
      <x:c r="B637" s="62" t="n">
        <x:v>46428</x:v>
      </x:c>
      <x:c r="C637" s="64" t="str">
        <x:v>P4</x:v>
      </x:c>
      <x:c r="D637" s="64" t="n">
        <x:v>6</x:v>
      </x:c>
      <x:c r="E637" s="29" t="str">
        <x:v>Save this for a conversation where honesty needs both openness and limits.</x:v>
      </x:c>
      <x:c r="F637" s="29" t="str">
        <x:v>Slide 6 of 6. Save this for a conversation where honesty needs both openness and limits.</x:v>
      </x:c>
      <x:c r="G637" s="29" t="str">
        <x:v>script</x:v>
      </x:c>
      <x:c r="H637" s="29" t="str">
        <x:v>Draft — owner review</x:v>
      </x:c>
    </x:row>
    <x:row r="638" ht="84" customHeight="1">
      <x:c r="A638" s="29" t="str">
        <x:v>BTB-107</x:v>
      </x:c>
      <x:c r="B638" s="62" t="n">
        <x:v>46429</x:v>
      </x:c>
      <x:c r="C638" s="64" t="str">
        <x:v>P5</x:v>
      </x:c>
      <x:c r="D638" s="64" t="n">
        <x:v>1</x:v>
      </x:c>
      <x:c r="E638" s="29" t="str">
        <x:v>Give the weekend a realistic capacity—not an unlimited to-do list.</x:v>
      </x:c>
      <x:c r="F638" s="29" t="str">
        <x:v>Slide 1 of 6. Give the weekend a realistic capacity—not an unlimited to-do list.</x:v>
      </x:c>
      <x:c r="G638" s="29" t="str">
        <x:v>checklist</x:v>
      </x:c>
      <x:c r="H638" s="29" t="str">
        <x:v>Draft — owner review</x:v>
      </x:c>
    </x:row>
    <x:row r="639" ht="84" customHeight="1">
      <x:c r="A639" s="29" t="str">
        <x:v>BTB-107</x:v>
      </x:c>
      <x:c r="B639" s="62" t="n">
        <x:v>46429</x:v>
      </x:c>
      <x:c r="C639" s="64" t="str">
        <x:v>P5</x:v>
      </x:c>
      <x:c r="D639" s="64" t="n">
        <x:v>2</x:v>
      </x:c>
      <x:c r="E639" s="29" t="str">
        <x:v>Two days can disappear under all the tasks you hoped a quieter week would somehow complete.</x:v>
      </x:c>
      <x:c r="F639" s="29" t="str">
        <x:v>Slide 2 of 6. Two days can disappear under all the tasks you hoped a quieter week would somehow complete.</x:v>
      </x:c>
      <x:c r="G639" s="29" t="str">
        <x:v>checklist</x:v>
      </x:c>
      <x:c r="H639" s="29" t="str">
        <x:v>Draft — owner review</x:v>
      </x:c>
    </x:row>
    <x:row r="640" ht="84" customHeight="1">
      <x:c r="A640" s="29" t="str">
        <x:v>BTB-107</x:v>
      </x:c>
      <x:c r="B640" s="62" t="n">
        <x:v>46429</x:v>
      </x:c>
      <x:c r="C640" s="64" t="str">
        <x:v>P5</x:v>
      </x:c>
      <x:c r="D640" s="64" t="n">
        <x:v>3</x:v>
      </x:c>
      <x:c r="E640" s="29" t="str">
        <x:v>Choose one necessary task, one restorative option, and one connection or interest you would like to make room for.</x:v>
      </x:c>
      <x:c r="F640" s="29" t="str">
        <x:v>Slide 3 of 6. Choose one necessary task, one restorative option, and one connection or interest you would like to make room for.</x:v>
      </x:c>
      <x:c r="G640" s="29" t="str">
        <x:v>checklist</x:v>
      </x:c>
      <x:c r="H640" s="29" t="str">
        <x:v>Draft — owner review</x:v>
      </x:c>
    </x:row>
    <x:row r="641" ht="84" customHeight="1">
      <x:c r="A641" s="29" t="str">
        <x:v>BTB-107</x:v>
      </x:c>
      <x:c r="B641" s="62" t="n">
        <x:v>46429</x:v>
      </x:c>
      <x:c r="C641" s="64" t="str">
        <x:v>P5</x:v>
      </x:c>
      <x:c r="D641" s="64" t="n">
        <x:v>4</x:v>
      </x:c>
      <x:c r="E641" s="29" t="str">
        <x:v>Fit them around actual responsibilities. Leave room for travel, transitions, and ordinary delays.</x:v>
      </x:c>
      <x:c r="F641" s="29" t="str">
        <x:v>Slide 4 of 6. Fit them around actual responsibilities. Leave room for travel, transitions, and ordinary delays.</x:v>
      </x:c>
      <x:c r="G641" s="29" t="str">
        <x:v>checklist</x:v>
      </x:c>
      <x:c r="H641" s="29" t="str">
        <x:v>Draft — owner review</x:v>
      </x:c>
    </x:row>
    <x:row r="642" ht="84" customHeight="1">
      <x:c r="A642" s="29" t="str">
        <x:v>BTB-107</x:v>
      </x:c>
      <x:c r="B642" s="62" t="n">
        <x:v>46429</x:v>
      </x:c>
      <x:c r="C642" s="64" t="str">
        <x:v>P5</x:v>
      </x:c>
      <x:c r="D642" s="64" t="n">
        <x:v>5</x:v>
      </x:c>
      <x:c r="E642" s="29" t="str">
        <x:v>Decide what will wait before the weekend begins. Waiting is easier to manage when it is deliberate.</x:v>
      </x:c>
      <x:c r="F642" s="29" t="str">
        <x:v>Slide 5 of 6. Decide what will wait before the weekend begins. Waiting is easier to manage when it is deliberate.</x:v>
      </x:c>
      <x:c r="G642" s="29" t="str">
        <x:v>checklist</x:v>
      </x:c>
      <x:c r="H642" s="29" t="str">
        <x:v>Draft — owner review</x:v>
      </x:c>
    </x:row>
    <x:row r="643" ht="84" customHeight="1">
      <x:c r="A643" s="29" t="str">
        <x:v>BTB-107</x:v>
      </x:c>
      <x:c r="B643" s="62" t="n">
        <x:v>46429</x:v>
      </x:c>
      <x:c r="C643" s="64" t="str">
        <x:v>P5</x:v>
      </x:c>
      <x:c r="D643" s="64" t="n">
        <x:v>6</x:v>
      </x:c>
      <x:c r="E643" s="29" t="str">
        <x:v>Save this before your weekend becomes another week you cannot finish.</x:v>
      </x:c>
      <x:c r="F643" s="29" t="str">
        <x:v>Slide 6 of 6. Save this before your weekend becomes another week you cannot finish.</x:v>
      </x:c>
      <x:c r="G643" s="29" t="str">
        <x:v>checklist</x:v>
      </x:c>
      <x:c r="H643" s="29" t="str">
        <x:v>Draft — owner review</x:v>
      </x:c>
    </x:row>
    <x:row r="644" ht="84" customHeight="1">
      <x:c r="A644" s="29" t="str">
        <x:v>BTB-108</x:v>
      </x:c>
      <x:c r="B644" s="62" t="n">
        <x:v>46430</x:v>
      </x:c>
      <x:c r="C644" s="64" t="str">
        <x:v>P1</x:v>
      </x:c>
      <x:c r="D644" s="64" t="n">
        <x:v>1</x:v>
      </x:c>
      <x:c r="E644" s="29" t="str">
        <x:v>Regret can point to a lesson without becoming your permanent address.</x:v>
      </x:c>
      <x:c r="F644" s="29" t="str">
        <x:v>Slide 1 of 6. Regret can point to a lesson without becoming your permanent address.</x:v>
      </x:c>
      <x:c r="G644" s="29" t="str">
        <x:v>contrast</x:v>
      </x:c>
      <x:c r="H644" s="29" t="str">
        <x:v>Draft — owner review</x:v>
      </x:c>
    </x:row>
    <x:row r="645" ht="84" customHeight="1">
      <x:c r="A645" s="29" t="str">
        <x:v>BTB-108</x:v>
      </x:c>
      <x:c r="B645" s="62" t="n">
        <x:v>46430</x:v>
      </x:c>
      <x:c r="C645" s="64" t="str">
        <x:v>P1</x:v>
      </x:c>
      <x:c r="D645" s="64" t="n">
        <x:v>2</x:v>
      </x:c>
      <x:c r="E645" s="29" t="str">
        <x:v>Replaying the same moment may feel like taking responsibility, even when it no longer produces new information.</x:v>
      </x:c>
      <x:c r="F645" s="29" t="str">
        <x:v>Slide 2 of 6. Replaying the same moment may feel like taking responsibility, even when it no longer produces new information.</x:v>
      </x:c>
      <x:c r="G645" s="29" t="str">
        <x:v>contrast</x:v>
      </x:c>
      <x:c r="H645" s="29" t="str">
        <x:v>Draft — owner review</x:v>
      </x:c>
    </x:row>
    <x:row r="646" ht="84" customHeight="1">
      <x:c r="A646" s="29" t="str">
        <x:v>BTB-108</x:v>
      </x:c>
      <x:c r="B646" s="62" t="n">
        <x:v>46430</x:v>
      </x:c>
      <x:c r="C646" s="64" t="str">
        <x:v>P1</x:v>
      </x:c>
      <x:c r="D646" s="64" t="n">
        <x:v>3</x:v>
      </x:c>
      <x:c r="E646" s="29" t="str">
        <x:v>Write the lesson in practical language: what would I choose differently in a similar situation?</x:v>
      </x:c>
      <x:c r="F646" s="29" t="str">
        <x:v>Slide 3 of 6. Write the lesson in practical language: what would I choose differently in a similar situation?</x:v>
      </x:c>
      <x:c r="G646" s="29" t="str">
        <x:v>contrast</x:v>
      </x:c>
      <x:c r="H646" s="29" t="str">
        <x:v>Draft — owner review</x:v>
      </x:c>
    </x:row>
    <x:row r="647" ht="84" customHeight="1">
      <x:c r="A647" s="29" t="str">
        <x:v>BTB-108</x:v>
      </x:c>
      <x:c r="B647" s="62" t="n">
        <x:v>46430</x:v>
      </x:c>
      <x:c r="C647" s="64" t="str">
        <x:v>P1</x:v>
      </x:c>
      <x:c r="D647" s="64" t="n">
        <x:v>4</x:v>
      </x:c>
      <x:c r="E647" s="29" t="str">
        <x:v>Consider whether a safe, appropriate repair is possible. Do not force contact or an apology conversation on someone else.</x:v>
      </x:c>
      <x:c r="F647" s="29" t="str">
        <x:v>Slide 4 of 6. Consider whether a safe, appropriate repair is possible. Do not force contact or an apology conversation on someone else.</x:v>
      </x:c>
      <x:c r="G647" s="29" t="str">
        <x:v>contrast</x:v>
      </x:c>
      <x:c r="H647" s="29" t="str">
        <x:v>Draft — owner review</x:v>
      </x:c>
    </x:row>
    <x:row r="648" ht="84" customHeight="1">
      <x:c r="A648" s="29" t="str">
        <x:v>BTB-108</x:v>
      </x:c>
      <x:c r="B648" s="62" t="n">
        <x:v>46430</x:v>
      </x:c>
      <x:c r="C648" s="64" t="str">
        <x:v>P1</x:v>
      </x:c>
      <x:c r="D648" s="64" t="n">
        <x:v>5</x:v>
      </x:c>
      <x:c r="E648" s="29" t="str">
        <x:v>When the issue needs professional support, seek it. You do not have to keep examining it alone.</x:v>
      </x:c>
      <x:c r="F648" s="29" t="str">
        <x:v>Slide 5 of 6. When the issue needs professional support, seek it. You do not have to keep examining it alone.</x:v>
      </x:c>
      <x:c r="G648" s="29" t="str">
        <x:v>contrast</x:v>
      </x:c>
      <x:c r="H648" s="29" t="str">
        <x:v>Draft — owner review</x:v>
      </x:c>
    </x:row>
    <x:row r="649" ht="84" customHeight="1">
      <x:c r="A649" s="29" t="str">
        <x:v>BTB-108</x:v>
      </x:c>
      <x:c r="B649" s="62" t="n">
        <x:v>46430</x:v>
      </x:c>
      <x:c r="C649" s="64" t="str">
        <x:v>P1</x:v>
      </x:c>
      <x:c r="D649" s="64" t="n">
        <x:v>6</x:v>
      </x:c>
      <x:c r="E649" s="29" t="str">
        <x:v>Send this to someone who wants to learn without living inside the same moment forever.</x:v>
      </x:c>
      <x:c r="F649" s="29" t="str">
        <x:v>Slide 6 of 6. Send this to someone who wants to learn without living inside the same moment forever.</x:v>
      </x:c>
      <x:c r="G649" s="29" t="str">
        <x:v>contrast</x:v>
      </x:c>
      <x:c r="H649" s="29" t="str">
        <x:v>Draft — owner review</x:v>
      </x:c>
    </x:row>
    <x:row r="650" ht="84" customHeight="1">
      <x:c r="A650" s="29" t="str">
        <x:v>BTB-109</x:v>
      </x:c>
      <x:c r="B650" s="62" t="n">
        <x:v>46431</x:v>
      </x:c>
      <x:c r="C650" s="64" t="str">
        <x:v>P2</x:v>
      </x:c>
      <x:c r="D650" s="64" t="n">
        <x:v>1</x:v>
      </x:c>
      <x:c r="E650" s="29" t="str">
        <x:v>A day full of couple posts is not a report on your worth.</x:v>
      </x:c>
      <x:c r="F650" s="29" t="str">
        <x:v>Slide 1 of 6. A day full of couple posts is not a report on your worth.</x:v>
      </x:c>
      <x:c r="G650" s="29" t="str">
        <x:v>editorial</x:v>
      </x:c>
      <x:c r="H650" s="29" t="str">
        <x:v>Draft — owner review</x:v>
      </x:c>
    </x:row>
    <x:row r="651" ht="84" customHeight="1">
      <x:c r="A651" s="29" t="str">
        <x:v>BTB-109</x:v>
      </x:c>
      <x:c r="B651" s="62" t="n">
        <x:v>46431</x:v>
      </x:c>
      <x:c r="C651" s="64" t="str">
        <x:v>P2</x:v>
      </x:c>
      <x:c r="D651" s="64" t="n">
        <x:v>2</x:v>
      </x:c>
      <x:c r="E651" s="29" t="str">
        <x:v>Other people's celebrations can be genuine and still bring up something difficult for you.</x:v>
      </x:c>
      <x:c r="F651" s="29" t="str">
        <x:v>Slide 2 of 6. Other people's celebrations can be genuine and still bring up something difficult for you.</x:v>
      </x:c>
      <x:c r="G651" s="29" t="str">
        <x:v>editorial</x:v>
      </x:c>
      <x:c r="H651" s="29" t="str">
        <x:v>Draft — owner review</x:v>
      </x:c>
    </x:row>
    <x:row r="652" ht="84" customHeight="1">
      <x:c r="A652" s="29" t="str">
        <x:v>BTB-109</x:v>
      </x:c>
      <x:c r="B652" s="62" t="n">
        <x:v>46431</x:v>
      </x:c>
      <x:c r="C652" s="64" t="str">
        <x:v>P2</x:v>
      </x:c>
      <x:c r="D652" s="64" t="n">
        <x:v>3</x:v>
      </x:c>
      <x:c r="E652" s="29" t="str">
        <x:v>You do not need to prove you are unaffected or manufacture a celebration you do not want.</x:v>
      </x:c>
      <x:c r="F652" s="29" t="str">
        <x:v>Slide 3 of 6. You do not need to prove you are unaffected or manufacture a celebration you do not want.</x:v>
      </x:c>
      <x:c r="G652" s="29" t="str">
        <x:v>editorial</x:v>
      </x:c>
      <x:c r="H652" s="29" t="str">
        <x:v>Draft — owner review</x:v>
      </x:c>
    </x:row>
    <x:row r="653" ht="84" customHeight="1">
      <x:c r="A653" s="29" t="str">
        <x:v>BTB-109</x:v>
      </x:c>
      <x:c r="B653" s="62" t="n">
        <x:v>46431</x:v>
      </x:c>
      <x:c r="C653" s="64" t="str">
        <x:v>P2</x:v>
      </x:c>
      <x:c r="D653" s="64" t="n">
        <x:v>4</x:v>
      </x:c>
      <x:c r="E653" s="29" t="str">
        <x:v>Make a plan that fits the day: ordinary company, an activity you enjoy, or a quieter use of your time.</x:v>
      </x:c>
      <x:c r="F653" s="29" t="str">
        <x:v>Slide 4 of 6. Make a plan that fits the day: ordinary company, an activity you enjoy, or a quieter use of your time.</x:v>
      </x:c>
      <x:c r="G653" s="29" t="str">
        <x:v>editorial</x:v>
      </x:c>
      <x:c r="H653" s="29" t="str">
        <x:v>Draft — owner review</x:v>
      </x:c>
    </x:row>
    <x:row r="654" ht="84" customHeight="1">
      <x:c r="A654" s="29" t="str">
        <x:v>BTB-109</x:v>
      </x:c>
      <x:c r="B654" s="62" t="n">
        <x:v>46431</x:v>
      </x:c>
      <x:c r="C654" s="64" t="str">
        <x:v>P2</x:v>
      </x:c>
      <x:c r="D654" s="64" t="n">
        <x:v>5</x:v>
      </x:c>
      <x:c r="E654" s="29" t="str">
        <x:v>Step away from optional content that is making the day harder. Keep room for real support.</x:v>
      </x:c>
      <x:c r="F654" s="29" t="str">
        <x:v>Slide 5 of 6. Step away from optional content that is making the day harder. Keep room for real support.</x:v>
      </x:c>
      <x:c r="G654" s="29" t="str">
        <x:v>editorial</x:v>
      </x:c>
      <x:c r="H654" s="29" t="str">
        <x:v>Draft — owner review</x:v>
      </x:c>
    </x:row>
    <x:row r="655" ht="84" customHeight="1">
      <x:c r="A655" s="29" t="str">
        <x:v>BTB-109</x:v>
      </x:c>
      <x:c r="B655" s="62" t="n">
        <x:v>46431</x:v>
      </x:c>
      <x:c r="C655" s="64" t="str">
        <x:v>P2</x:v>
      </x:c>
      <x:c r="D655" s="64" t="n">
        <x:v>6</x:v>
      </x:c>
      <x:c r="E655" s="29" t="str">
        <x:v>Share this with someone who needs less comparison and more kindness this week.</x:v>
      </x:c>
      <x:c r="F655" s="29" t="str">
        <x:v>Slide 6 of 6. Share this with someone who needs less comparison and more kindness this week.</x:v>
      </x:c>
      <x:c r="G655" s="29" t="str">
        <x:v>editorial</x:v>
      </x:c>
      <x:c r="H655" s="29" t="str">
        <x:v>Draft — owner review</x:v>
      </x:c>
    </x:row>
    <x:row r="656" ht="84" customHeight="1">
      <x:c r="A656" s="29" t="str">
        <x:v>BTB-110</x:v>
      </x:c>
      <x:c r="B656" s="62" t="n">
        <x:v>46432</x:v>
      </x:c>
      <x:c r="C656" s="64" t="str">
        <x:v>P3</x:v>
      </x:c>
      <x:c r="D656" s="64" t="n">
        <x:v>1</x:v>
      </x:c>
      <x:c r="E656" s="29" t="str">
        <x:v>Your child's affection is not evidence to collect.</x:v>
      </x:c>
      <x:c r="F656" s="29" t="str">
        <x:v>Slide 1 of 6. Your child's affection is not evidence to collect.</x:v>
      </x:c>
      <x:c r="G656" s="29" t="str">
        <x:v>editorial</x:v>
      </x:c>
      <x:c r="H656" s="29" t="str">
        <x:v>Draft — owner review</x:v>
      </x:c>
    </x:row>
    <x:row r="657" ht="84" customHeight="1">
      <x:c r="A657" s="29" t="str">
        <x:v>BTB-110</x:v>
      </x:c>
      <x:c r="B657" s="62" t="n">
        <x:v>46432</x:v>
      </x:c>
      <x:c r="C657" s="64" t="str">
        <x:v>P3</x:v>
      </x:c>
      <x:c r="D657" s="64" t="n">
        <x:v>2</x:v>
      </x:c>
      <x:c r="E657" s="29" t="str">
        <x:v>A hug, a drawing, or a loving sentence does not need to become proof that you are the preferred parent.</x:v>
      </x:c>
      <x:c r="F657" s="29" t="str">
        <x:v>Slide 2 of 6. A hug, a drawing, or a loving sentence does not need to become proof that you are the preferred parent.</x:v>
      </x:c>
      <x:c r="G657" s="29" t="str">
        <x:v>editorial</x:v>
      </x:c>
      <x:c r="H657" s="29" t="str">
        <x:v>Draft — owner review</x:v>
      </x:c>
    </x:row>
    <x:row r="658" ht="84" customHeight="1">
      <x:c r="A658" s="29" t="str">
        <x:v>BTB-110</x:v>
      </x:c>
      <x:c r="B658" s="62" t="n">
        <x:v>46432</x:v>
      </x:c>
      <x:c r="C658" s="64" t="str">
        <x:v>P3</x:v>
      </x:c>
      <x:c r="D658" s="64" t="n">
        <x:v>3</x:v>
      </x:c>
      <x:c r="E658" s="29" t="str">
        <x:v>Let the moment belong to the relationship rather than a comparison between adults.</x:v>
      </x:c>
      <x:c r="F658" s="29" t="str">
        <x:v>Slide 3 of 6. Let the moment belong to the relationship rather than a comparison between adults.</x:v>
      </x:c>
      <x:c r="G658" s="29" t="str">
        <x:v>editorial</x:v>
      </x:c>
      <x:c r="H658" s="29" t="str">
        <x:v>Draft — owner review</x:v>
      </x:c>
    </x:row>
    <x:row r="659" ht="84" customHeight="1">
      <x:c r="A659" s="29" t="str">
        <x:v>BTB-110</x:v>
      </x:c>
      <x:c r="B659" s="62" t="n">
        <x:v>46432</x:v>
      </x:c>
      <x:c r="C659" s="64" t="str">
        <x:v>P3</x:v>
      </x:c>
      <x:c r="D659" s="64" t="n">
        <x:v>4</x:v>
      </x:c>
      <x:c r="E659" s="29" t="str">
        <x:v>Be careful about sharing it publicly, especially when a post could reveal private family dynamics.</x:v>
      </x:c>
      <x:c r="F659" s="29" t="str">
        <x:v>Slide 4 of 6. Be careful about sharing it publicly, especially when a post could reveal private family dynamics.</x:v>
      </x:c>
      <x:c r="G659" s="29" t="str">
        <x:v>editorial</x:v>
      </x:c>
      <x:c r="H659" s="29" t="str">
        <x:v>Draft — owner review</x:v>
      </x:c>
    </x:row>
    <x:row r="660" ht="84" customHeight="1">
      <x:c r="A660" s="29" t="str">
        <x:v>BTB-110</x:v>
      </x:c>
      <x:c r="B660" s="62" t="n">
        <x:v>46432</x:v>
      </x:c>
      <x:c r="C660" s="64" t="str">
        <x:v>P3</x:v>
      </x:c>
      <x:c r="D660" s="64" t="n">
        <x:v>5</x:v>
      </x:c>
      <x:c r="E660" s="29" t="str">
        <x:v>The adult wish to feel reassured should not become a child's job to perform or document.</x:v>
      </x:c>
      <x:c r="F660" s="29" t="str">
        <x:v>Slide 5 of 6. The adult wish to feel reassured should not become a child's job to perform or document.</x:v>
      </x:c>
      <x:c r="G660" s="29" t="str">
        <x:v>editorial</x:v>
      </x:c>
      <x:c r="H660" s="29" t="str">
        <x:v>Draft — owner review</x:v>
      </x:c>
    </x:row>
    <x:row r="661" ht="84" customHeight="1">
      <x:c r="A661" s="29" t="str">
        <x:v>BTB-110</x:v>
      </x:c>
      <x:c r="B661" s="62" t="n">
        <x:v>46432</x:v>
      </x:c>
      <x:c r="C661" s="64" t="str">
        <x:v>P3</x:v>
      </x:c>
      <x:c r="D661" s="64" t="n">
        <x:v>6</x:v>
      </x:c>
      <x:c r="E661" s="29" t="str">
        <x:v>Share the principle, not the child's private moment.</x:v>
      </x:c>
      <x:c r="F661" s="29" t="str">
        <x:v>Slide 6 of 6. Share the principle, not the child's private moment.</x:v>
      </x:c>
      <x:c r="G661" s="29" t="str">
        <x:v>editorial</x:v>
      </x:c>
      <x:c r="H661" s="29" t="str">
        <x:v>Draft — owner review</x:v>
      </x:c>
    </x:row>
    <x:row r="662" ht="84" customHeight="1">
      <x:c r="A662" s="29" t="str">
        <x:v>BTB-111</x:v>
      </x:c>
      <x:c r="B662" s="62" t="n">
        <x:v>46433</x:v>
      </x:c>
      <x:c r="C662" s="64" t="str">
        <x:v>P4</x:v>
      </x:c>
      <x:c r="D662" s="64" t="n">
        <x:v>1</x:v>
      </x:c>
      <x:c r="E662" s="29" t="str">
        <x:v>Being chosen is not the same as being treated well.</x:v>
      </x:c>
      <x:c r="F662" s="29" t="str">
        <x:v>Slide 1 of 6. Being chosen is not the same as being treated well.</x:v>
      </x:c>
      <x:c r="G662" s="29" t="str">
        <x:v>contrast</x:v>
      </x:c>
      <x:c r="H662" s="29" t="str">
        <x:v>Draft — owner review</x:v>
      </x:c>
    </x:row>
    <x:row r="663" ht="84" customHeight="1">
      <x:c r="A663" s="29" t="str">
        <x:v>BTB-111</x:v>
      </x:c>
      <x:c r="B663" s="62" t="n">
        <x:v>46433</x:v>
      </x:c>
      <x:c r="C663" s="64" t="str">
        <x:v>P4</x:v>
      </x:c>
      <x:c r="D663" s="64" t="n">
        <x:v>2</x:v>
      </x:c>
      <x:c r="E663" s="29" t="str">
        <x:v>A relationship label can feel reassuring after uncertainty. The label does not answer how the relationship works day to day.</x:v>
      </x:c>
      <x:c r="F663" s="29" t="str">
        <x:v>Slide 2 of 6. A relationship label can feel reassuring after uncertainty. The label does not answer how the relationship works day to day.</x:v>
      </x:c>
      <x:c r="G663" s="29" t="str">
        <x:v>contrast</x:v>
      </x:c>
      <x:c r="H663" s="29" t="str">
        <x:v>Draft — owner review</x:v>
      </x:c>
    </x:row>
    <x:row r="664" ht="84" customHeight="1">
      <x:c r="A664" s="29" t="str">
        <x:v>BTB-111</x:v>
      </x:c>
      <x:c r="B664" s="62" t="n">
        <x:v>46433</x:v>
      </x:c>
      <x:c r="C664" s="64" t="str">
        <x:v>P4</x:v>
      </x:c>
      <x:c r="D664" s="64" t="n">
        <x:v>3</x:v>
      </x:c>
      <x:c r="E664" s="29" t="str">
        <x:v>Notice whether there is room for your limits, responsibilities, friendships, and honest disagreement.</x:v>
      </x:c>
      <x:c r="F664" s="29" t="str">
        <x:v>Slide 3 of 6. Notice whether there is room for your limits, responsibilities, friendships, and honest disagreement.</x:v>
      </x:c>
      <x:c r="G664" s="29" t="str">
        <x:v>contrast</x:v>
      </x:c>
      <x:c r="H664" s="29" t="str">
        <x:v>Draft — owner review</x:v>
      </x:c>
    </x:row>
    <x:row r="665" ht="84" customHeight="1">
      <x:c r="A665" s="29" t="str">
        <x:v>BTB-111</x:v>
      </x:c>
      <x:c r="B665" s="62" t="n">
        <x:v>46433</x:v>
      </x:c>
      <x:c r="C665" s="64" t="str">
        <x:v>P4</x:v>
      </x:c>
      <x:c r="D665" s="64" t="n">
        <x:v>4</x:v>
      </x:c>
      <x:c r="E665" s="29" t="str">
        <x:v>Ask the same questions about how you treat the other person.</x:v>
      </x:c>
      <x:c r="F665" s="29" t="str">
        <x:v>Slide 4 of 6. Ask the same questions about how you treat the other person.</x:v>
      </x:c>
      <x:c r="G665" s="29" t="str">
        <x:v>contrast</x:v>
      </x:c>
      <x:c r="H665" s="29" t="str">
        <x:v>Draft — owner review</x:v>
      </x:c>
    </x:row>
    <x:row r="666" ht="84" customHeight="1">
      <x:c r="A666" s="29" t="str">
        <x:v>BTB-111</x:v>
      </x:c>
      <x:c r="B666" s="62" t="n">
        <x:v>46433</x:v>
      </x:c>
      <x:c r="C666" s="64" t="str">
        <x:v>P4</x:v>
      </x:c>
      <x:c r="D666" s="64" t="n">
        <x:v>5</x:v>
      </x:c>
      <x:c r="E666" s="29" t="str">
        <x:v>Do not use this as a scorecard that diagnoses a partner. Use it to identify a concern worth discussing or getting support with.</x:v>
      </x:c>
      <x:c r="F666" s="29" t="str">
        <x:v>Slide 5 of 6. Do not use this as a scorecard that diagnoses a partner. Use it to identify a concern worth discussing or getting support with.</x:v>
      </x:c>
      <x:c r="G666" s="29" t="str">
        <x:v>contrast</x:v>
      </x:c>
      <x:c r="H666" s="29" t="str">
        <x:v>Draft — owner review</x:v>
      </x:c>
    </x:row>
    <x:row r="667" ht="84" customHeight="1">
      <x:c r="A667" s="29" t="str">
        <x:v>BTB-111</x:v>
      </x:c>
      <x:c r="B667" s="62" t="n">
        <x:v>46433</x:v>
      </x:c>
      <x:c r="C667" s="64" t="str">
        <x:v>P4</x:v>
      </x:c>
      <x:c r="D667" s="64" t="n">
        <x:v>6</x:v>
      </x:c>
      <x:c r="E667" s="29" t="str">
        <x:v>Send this to someone who deserves to evaluate more than whether a relationship exists.</x:v>
      </x:c>
      <x:c r="F667" s="29" t="str">
        <x:v>Slide 6 of 6. Send this to someone who deserves to evaluate more than whether a relationship exists.</x:v>
      </x:c>
      <x:c r="G667" s="29" t="str">
        <x:v>contrast</x:v>
      </x:c>
      <x:c r="H667" s="29" t="str">
        <x:v>Draft — owner review</x:v>
      </x:c>
    </x:row>
    <x:row r="668" ht="84" customHeight="1">
      <x:c r="A668" s="29" t="str">
        <x:v>BTB-112</x:v>
      </x:c>
      <x:c r="B668" s="62" t="n">
        <x:v>46434</x:v>
      </x:c>
      <x:c r="C668" s="64" t="str">
        <x:v>P5</x:v>
      </x:c>
      <x:c r="D668" s="64" t="n">
        <x:v>1</x:v>
      </x:c>
      <x:c r="E668" s="29" t="str">
        <x:v>Restart the habit at a size that fits today.</x:v>
      </x:c>
      <x:c r="F668" s="29" t="str">
        <x:v>Slide 1 of 6. Restart the habit at a size that fits today.</x:v>
      </x:c>
      <x:c r="G668" s="29" t="str">
        <x:v>checklist</x:v>
      </x:c>
      <x:c r="H668" s="29" t="str">
        <x:v>Draft — owner review</x:v>
      </x:c>
    </x:row>
    <x:row r="669" ht="84" customHeight="1">
      <x:c r="A669" s="29" t="str">
        <x:v>BTB-112</x:v>
      </x:c>
      <x:c r="B669" s="62" t="n">
        <x:v>46434</x:v>
      </x:c>
      <x:c r="C669" s="64" t="str">
        <x:v>P5</x:v>
      </x:c>
      <x:c r="D669" s="64" t="n">
        <x:v>2</x:v>
      </x:c>
      <x:c r="E669" s="29" t="str">
        <x:v>Missing a routine does not require you to repay every missed day before beginning again.</x:v>
      </x:c>
      <x:c r="F669" s="29" t="str">
        <x:v>Slide 2 of 6. Missing a routine does not require you to repay every missed day before beginning again.</x:v>
      </x:c>
      <x:c r="G669" s="29" t="str">
        <x:v>checklist</x:v>
      </x:c>
      <x:c r="H669" s="29" t="str">
        <x:v>Draft — owner review</x:v>
      </x:c>
    </x:row>
    <x:row r="670" ht="84" customHeight="1">
      <x:c r="A670" s="29" t="str">
        <x:v>BTB-112</x:v>
      </x:c>
      <x:c r="B670" s="62" t="n">
        <x:v>46434</x:v>
      </x:c>
      <x:c r="C670" s="64" t="str">
        <x:v>P5</x:v>
      </x:c>
      <x:c r="D670" s="64" t="n">
        <x:v>3</x:v>
      </x:c>
      <x:c r="E670" s="29" t="str">
        <x:v>Choose the smallest useful version: organise one item, read one page, or prepare one part of tomorrow.</x:v>
      </x:c>
      <x:c r="F670" s="29" t="str">
        <x:v>Slide 3 of 6. Choose the smallest useful version: organise one item, read one page, or prepare one part of tomorrow.</x:v>
      </x:c>
      <x:c r="G670" s="29" t="str">
        <x:v>checklist</x:v>
      </x:c>
      <x:c r="H670" s="29" t="str">
        <x:v>Draft — owner review</x:v>
      </x:c>
    </x:row>
    <x:row r="671" ht="84" customHeight="1">
      <x:c r="A671" s="29" t="str">
        <x:v>BTB-112</x:v>
      </x:c>
      <x:c r="B671" s="62" t="n">
        <x:v>46434</x:v>
      </x:c>
      <x:c r="C671" s="64" t="str">
        <x:v>P5</x:v>
      </x:c>
      <x:c r="D671" s="64" t="n">
        <x:v>4</x:v>
      </x:c>
      <x:c r="E671" s="29" t="str">
        <x:v>Keep any health-related changes appropriate to your circumstances and professional advice.</x:v>
      </x:c>
      <x:c r="F671" s="29" t="str">
        <x:v>Slide 4 of 6. Keep any health-related changes appropriate to your circumstances and professional advice.</x:v>
      </x:c>
      <x:c r="G671" s="29" t="str">
        <x:v>checklist</x:v>
      </x:c>
      <x:c r="H671" s="29" t="str">
        <x:v>Draft — owner review</x:v>
      </x:c>
    </x:row>
    <x:row r="672" ht="84" customHeight="1">
      <x:c r="A672" s="29" t="str">
        <x:v>BTB-112</x:v>
      </x:c>
      <x:c r="B672" s="62" t="n">
        <x:v>46434</x:v>
      </x:c>
      <x:c r="C672" s="64" t="str">
        <x:v>P5</x:v>
      </x:c>
      <x:c r="D672" s="64" t="n">
        <x:v>5</x:v>
      </x:c>
      <x:c r="E672" s="29" t="str">
        <x:v>Review why the earlier version became difficult. A smaller restart is more useful when it also fits the real obstacle.</x:v>
      </x:c>
      <x:c r="F672" s="29" t="str">
        <x:v>Slide 5 of 6. Review why the earlier version became difficult. A smaller restart is more useful when it also fits the real obstacle.</x:v>
      </x:c>
      <x:c r="G672" s="29" t="str">
        <x:v>checklist</x:v>
      </x:c>
      <x:c r="H672" s="29" t="str">
        <x:v>Draft — owner review</x:v>
      </x:c>
    </x:row>
    <x:row r="673" ht="84" customHeight="1">
      <x:c r="A673" s="29" t="str">
        <x:v>BTB-112</x:v>
      </x:c>
      <x:c r="B673" s="62" t="n">
        <x:v>46434</x:v>
      </x:c>
      <x:c r="C673" s="64" t="str">
        <x:v>P5</x:v>
      </x:c>
      <x:c r="D673" s="64" t="n">
        <x:v>6</x:v>
      </x:c>
      <x:c r="E673" s="29" t="str">
        <x:v>Save this for the habit you keep postponing until you can do it perfectly.</x:v>
      </x:c>
      <x:c r="F673" s="29" t="str">
        <x:v>Slide 6 of 6. Save this for the habit you keep postponing until you can do it perfectly.</x:v>
      </x:c>
      <x:c r="G673" s="29" t="str">
        <x:v>checklist</x:v>
      </x:c>
      <x:c r="H673" s="29" t="str">
        <x:v>Draft — owner review</x:v>
      </x:c>
    </x:row>
    <x:row r="674" ht="84" customHeight="1">
      <x:c r="A674" s="29" t="str">
        <x:v>BTB-113</x:v>
      </x:c>
      <x:c r="B674" s="62" t="n">
        <x:v>46435</x:v>
      </x:c>
      <x:c r="C674" s="64" t="str">
        <x:v>P1</x:v>
      </x:c>
      <x:c r="D674" s="64" t="n">
        <x:v>1</x:v>
      </x:c>
      <x:c r="E674" s="29" t="str">
        <x:v>A form can describe your status without describing your life.</x:v>
      </x:c>
      <x:c r="F674" s="29" t="str">
        <x:v>Slide 1 of 6. A form can describe your status without describing your life.</x:v>
      </x:c>
      <x:c r="G674" s="29" t="str">
        <x:v>editorial</x:v>
      </x:c>
      <x:c r="H674" s="29" t="str">
        <x:v>Draft — owner review</x:v>
      </x:c>
    </x:row>
    <x:row r="675" ht="84" customHeight="1">
      <x:c r="A675" s="29" t="str">
        <x:v>BTB-113</x:v>
      </x:c>
      <x:c r="B675" s="62" t="n">
        <x:v>46435</x:v>
      </x:c>
      <x:c r="C675" s="64" t="str">
        <x:v>P1</x:v>
      </x:c>
      <x:c r="D675" s="64" t="n">
        <x:v>2</x:v>
      </x:c>
      <x:c r="E675" s="29" t="str">
        <x:v>A box marked separated, divorced, or single may carry more emotion than the document has room for.</x:v>
      </x:c>
      <x:c r="F675" s="29" t="str">
        <x:v>Slide 2 of 6. A box marked separated, divorced, or single may carry more emotion than the document has room for.</x:v>
      </x:c>
      <x:c r="G675" s="29" t="str">
        <x:v>editorial</x:v>
      </x:c>
      <x:c r="H675" s="29" t="str">
        <x:v>Draft — owner review</x:v>
      </x:c>
    </x:row>
    <x:row r="676" ht="84" customHeight="1">
      <x:c r="A676" s="29" t="str">
        <x:v>BTB-113</x:v>
      </x:c>
      <x:c r="B676" s="62" t="n">
        <x:v>46435</x:v>
      </x:c>
      <x:c r="C676" s="64" t="str">
        <x:v>P1</x:v>
      </x:c>
      <x:c r="D676" s="64" t="n">
        <x:v>3</x:v>
      </x:c>
      <x:c r="E676" s="29" t="str">
        <x:v>Complete the necessary task accurately. Notice that the feeling around it is a separate thing you may need support with.</x:v>
      </x:c>
      <x:c r="F676" s="29" t="str">
        <x:v>Slide 3 of 6. Complete the necessary task accurately. Notice that the feeling around it is a separate thing you may need support with.</x:v>
      </x:c>
      <x:c r="G676" s="29" t="str">
        <x:v>editorial</x:v>
      </x:c>
      <x:c r="H676" s="29" t="str">
        <x:v>Draft — owner review</x:v>
      </x:c>
    </x:row>
    <x:row r="677" ht="84" customHeight="1">
      <x:c r="A677" s="29" t="str">
        <x:v>BTB-113</x:v>
      </x:c>
      <x:c r="B677" s="62" t="n">
        <x:v>46435</x:v>
      </x:c>
      <x:c r="C677" s="64" t="str">
        <x:v>P1</x:v>
      </x:c>
      <x:c r="D677" s="64" t="n">
        <x:v>4</x:v>
      </x:c>
      <x:c r="E677" s="29" t="str">
        <x:v>You can be changed by a status without being reduced to it.</x:v>
      </x:c>
      <x:c r="F677" s="29" t="str">
        <x:v>Slide 4 of 6. You can be changed by a status without being reduced to it.</x:v>
      </x:c>
      <x:c r="G677" s="29" t="str">
        <x:v>editorial</x:v>
      </x:c>
      <x:c r="H677" s="29" t="str">
        <x:v>Draft — owner review</x:v>
      </x:c>
    </x:row>
    <x:row r="678" ht="84" customHeight="1">
      <x:c r="A678" s="29" t="str">
        <x:v>BTB-113</x:v>
      </x:c>
      <x:c r="B678" s="62" t="n">
        <x:v>46435</x:v>
      </x:c>
      <x:c r="C678" s="64" t="str">
        <x:v>P1</x:v>
      </x:c>
      <x:c r="D678" s="64" t="n">
        <x:v>5</x:v>
      </x:c>
      <x:c r="E678" s="29" t="str">
        <x:v>After the task, reconnect with something that belongs to the rest of your life.</x:v>
      </x:c>
      <x:c r="F678" s="29" t="str">
        <x:v>Slide 5 of 6. After the task, reconnect with something that belongs to the rest of your life.</x:v>
      </x:c>
      <x:c r="G678" s="29" t="str">
        <x:v>editorial</x:v>
      </x:c>
      <x:c r="H678" s="29" t="str">
        <x:v>Draft — owner review</x:v>
      </x:c>
    </x:row>
    <x:row r="679" ht="84" customHeight="1">
      <x:c r="A679" s="29" t="str">
        <x:v>BTB-113</x:v>
      </x:c>
      <x:c r="B679" s="62" t="n">
        <x:v>46435</x:v>
      </x:c>
      <x:c r="C679" s="64" t="str">
        <x:v>P1</x:v>
      </x:c>
      <x:c r="D679" s="64" t="n">
        <x:v>6</x:v>
      </x:c>
      <x:c r="E679" s="29" t="str">
        <x:v>Share this with someone surprised by how much an ordinary form can bring up.</x:v>
      </x:c>
      <x:c r="F679" s="29" t="str">
        <x:v>Slide 6 of 6. Share this with someone surprised by how much an ordinary form can bring up.</x:v>
      </x:c>
      <x:c r="G679" s="29" t="str">
        <x:v>editorial</x:v>
      </x:c>
      <x:c r="H679" s="29" t="str">
        <x:v>Draft — owner review</x:v>
      </x:c>
    </x:row>
    <x:row r="680" ht="84" customHeight="1">
      <x:c r="A680" s="29" t="str">
        <x:v>BTB-114</x:v>
      </x:c>
      <x:c r="B680" s="62" t="n">
        <x:v>46436</x:v>
      </x:c>
      <x:c r="C680" s="64" t="str">
        <x:v>P2</x:v>
      </x:c>
      <x:c r="D680" s="64" t="n">
        <x:v>1</x:v>
      </x:c>
      <x:c r="E680" s="29" t="str">
        <x:v>You can want company and need a quiet night.</x:v>
      </x:c>
      <x:c r="F680" s="29" t="str">
        <x:v>Slide 1 of 6. You can want company and need a quiet night.</x:v>
      </x:c>
      <x:c r="G680" s="29" t="str">
        <x:v>contrast</x:v>
      </x:c>
      <x:c r="H680" s="29" t="str">
        <x:v>Draft — owner review</x:v>
      </x:c>
    </x:row>
    <x:row r="681" ht="84" customHeight="1">
      <x:c r="A681" s="29" t="str">
        <x:v>BTB-114</x:v>
      </x:c>
      <x:c r="B681" s="62" t="n">
        <x:v>46436</x:v>
      </x:c>
      <x:c r="C681" s="64" t="str">
        <x:v>P2</x:v>
      </x:c>
      <x:c r="D681" s="64" t="n">
        <x:v>2</x:v>
      </x:c>
      <x:c r="E681" s="29" t="str">
        <x:v>Different needs can exist together without making you difficult or impossible to understand.</x:v>
      </x:c>
      <x:c r="F681" s="29" t="str">
        <x:v>Slide 2 of 6. Different needs can exist together without making you difficult or impossible to understand.</x:v>
      </x:c>
      <x:c r="G681" s="29" t="str">
        <x:v>contrast</x:v>
      </x:c>
      <x:c r="H681" s="29" t="str">
        <x:v>Draft — owner review</x:v>
      </x:c>
    </x:row>
    <x:row r="682" ht="84" customHeight="1">
      <x:c r="A682" s="29" t="str">
        <x:v>BTB-114</x:v>
      </x:c>
      <x:c r="B682" s="62" t="n">
        <x:v>46436</x:v>
      </x:c>
      <x:c r="C682" s="64" t="str">
        <x:v>P2</x:v>
      </x:c>
      <x:c r="D682" s="64" t="n">
        <x:v>3</x:v>
      </x:c>
      <x:c r="E682" s="29" t="str">
        <x:v>Ask which kind of company would fit: a brief call, a quiet shared activity, or plans for another day.</x:v>
      </x:c>
      <x:c r="F682" s="29" t="str">
        <x:v>Slide 3 of 6. Ask which kind of company would fit: a brief call, a quiet shared activity, or plans for another day.</x:v>
      </x:c>
      <x:c r="G682" s="29" t="str">
        <x:v>contrast</x:v>
      </x:c>
      <x:c r="H682" s="29" t="str">
        <x:v>Draft — owner review</x:v>
      </x:c>
    </x:row>
    <x:row r="683" ht="84" customHeight="1">
      <x:c r="A683" s="29" t="str">
        <x:v>BTB-114</x:v>
      </x:c>
      <x:c r="B683" s="62" t="n">
        <x:v>46436</x:v>
      </x:c>
      <x:c r="C683" s="64" t="str">
        <x:v>P2</x:v>
      </x:c>
      <x:c r="D683" s="64" t="n">
        <x:v>4</x:v>
      </x:c>
      <x:c r="E683" s="29" t="str">
        <x:v>Give the other person a clear invitation rather than expecting them to guess the right amount of closeness.</x:v>
      </x:c>
      <x:c r="F683" s="29" t="str">
        <x:v>Slide 4 of 6. Give the other person a clear invitation rather than expecting them to guess the right amount of closeness.</x:v>
      </x:c>
      <x:c r="G683" s="29" t="str">
        <x:v>contrast</x:v>
      </x:c>
      <x:c r="H683" s="29" t="str">
        <x:v>Draft — owner review</x:v>
      </x:c>
    </x:row>
    <x:row r="684" ht="84" customHeight="1">
      <x:c r="A684" s="29" t="str">
        <x:v>BTB-114</x:v>
      </x:c>
      <x:c r="B684" s="62" t="n">
        <x:v>46436</x:v>
      </x:c>
      <x:c r="C684" s="64" t="str">
        <x:v>P2</x:v>
      </x:c>
      <x:c r="D684" s="64" t="n">
        <x:v>5</x:v>
      </x:c>
      <x:c r="E684" s="29" t="str">
        <x:v>It is also acceptable to decide that tonight is for rest and to make a separate connection plan.</x:v>
      </x:c>
      <x:c r="F684" s="29" t="str">
        <x:v>Slide 5 of 6. It is also acceptable to decide that tonight is for rest and to make a separate connection plan.</x:v>
      </x:c>
      <x:c r="G684" s="29" t="str">
        <x:v>contrast</x:v>
      </x:c>
      <x:c r="H684" s="29" t="str">
        <x:v>Draft — owner review</x:v>
      </x:c>
    </x:row>
    <x:row r="685" ht="84" customHeight="1">
      <x:c r="A685" s="29" t="str">
        <x:v>BTB-114</x:v>
      </x:c>
      <x:c r="B685" s="62" t="n">
        <x:v>46436</x:v>
      </x:c>
      <x:c r="C685" s="64" t="str">
        <x:v>P2</x:v>
      </x:c>
      <x:c r="D685" s="64" t="n">
        <x:v>6</x:v>
      </x:c>
      <x:c r="E685" s="29" t="str">
        <x:v>Save this for a day when “alone or with people” feels like too simple a choice.</x:v>
      </x:c>
      <x:c r="F685" s="29" t="str">
        <x:v>Slide 6 of 6. Save this for a day when “alone or with people” feels like too simple a choice.</x:v>
      </x:c>
      <x:c r="G685" s="29" t="str">
        <x:v>contrast</x:v>
      </x:c>
      <x:c r="H685" s="29" t="str">
        <x:v>Draft — owner review</x:v>
      </x:c>
    </x:row>
    <x:row r="686" ht="84" customHeight="1">
      <x:c r="A686" s="29" t="str">
        <x:v>BTB-115</x:v>
      </x:c>
      <x:c r="B686" s="62" t="n">
        <x:v>46437</x:v>
      </x:c>
      <x:c r="C686" s="64" t="str">
        <x:v>P3</x:v>
      </x:c>
      <x:c r="D686" s="64" t="n">
        <x:v>1</x:v>
      </x:c>
      <x:c r="E686" s="29" t="str">
        <x:v>When you cannot keep a promise to your child, own the change clearly.</x:v>
      </x:c>
      <x:c r="F686" s="29" t="str">
        <x:v>Slide 1 of 6. When you cannot keep a promise to your child, own the change clearly.</x:v>
      </x:c>
      <x:c r="G686" s="29" t="str">
        <x:v>script</x:v>
      </x:c>
      <x:c r="H686" s="29" t="str">
        <x:v>Draft — owner review</x:v>
      </x:c>
    </x:row>
    <x:row r="687" ht="84" customHeight="1">
      <x:c r="A687" s="29" t="str">
        <x:v>BTB-115</x:v>
      </x:c>
      <x:c r="B687" s="62" t="n">
        <x:v>46437</x:v>
      </x:c>
      <x:c r="C687" s="64" t="str">
        <x:v>P3</x:v>
      </x:c>
      <x:c r="D687" s="64" t="n">
        <x:v>2</x:v>
      </x:c>
      <x:c r="E687" s="29" t="str">
        <x:v>Avoid making another adult responsible for explaining your side or asking your child to reassure you.</x:v>
      </x:c>
      <x:c r="F687" s="29" t="str">
        <x:v>Slide 2 of 6. Avoid making another adult responsible for explaining your side or asking your child to reassure you.</x:v>
      </x:c>
      <x:c r="G687" s="29" t="str">
        <x:v>script</x:v>
      </x:c>
      <x:c r="H687" s="29" t="str">
        <x:v>Draft — owner review</x:v>
      </x:c>
    </x:row>
    <x:row r="688" ht="84" customHeight="1">
      <x:c r="A688" s="29" t="str">
        <x:v>BTB-115</x:v>
      </x:c>
      <x:c r="B688" s="62" t="n">
        <x:v>46437</x:v>
      </x:c>
      <x:c r="C688" s="64" t="str">
        <x:v>P3</x:v>
      </x:c>
      <x:c r="D688" s="64" t="n">
        <x:v>3</x:v>
      </x:c>
      <x:c r="E688" s="29" t="str">
        <x:v>Try: “I said we would do that, and I can't make it happen today. I'm sorry for the disappointment.”</x:v>
      </x:c>
      <x:c r="F688" s="29" t="str">
        <x:v>Slide 3 of 6. Try: “I said we would do that, and I can't make it happen today. I'm sorry for the disappointment.”</x:v>
      </x:c>
      <x:c r="G688" s="29" t="str">
        <x:v>script</x:v>
      </x:c>
      <x:c r="H688" s="29" t="str">
        <x:v>Draft — owner review</x:v>
      </x:c>
    </x:row>
    <x:row r="689" ht="84" customHeight="1">
      <x:c r="A689" s="29" t="str">
        <x:v>BTB-115</x:v>
      </x:c>
      <x:c r="B689" s="62" t="n">
        <x:v>46437</x:v>
      </x:c>
      <x:c r="C689" s="64" t="str">
        <x:v>P3</x:v>
      </x:c>
      <x:c r="D689" s="64" t="n">
        <x:v>4</x:v>
      </x:c>
      <x:c r="E689" s="29" t="str">
        <x:v>Offer only an alternative you can realistically provide. Do not use a bigger promise to escape an uncomfortable moment.</x:v>
      </x:c>
      <x:c r="F689" s="29" t="str">
        <x:v>Slide 4 of 6. Offer only an alternative you can realistically provide. Do not use a bigger promise to escape an uncomfortable moment.</x:v>
      </x:c>
      <x:c r="G689" s="29" t="str">
        <x:v>script</x:v>
      </x:c>
      <x:c r="H689" s="29" t="str">
        <x:v>Draft — owner review</x:v>
      </x:c>
    </x:row>
    <x:row r="690" ht="84" customHeight="1">
      <x:c r="A690" s="29" t="str">
        <x:v>BTB-115</x:v>
      </x:c>
      <x:c r="B690" s="62" t="n">
        <x:v>46437</x:v>
      </x:c>
      <x:c r="C690" s="64" t="str">
        <x:v>P3</x:v>
      </x:c>
      <x:c r="D690" s="64" t="n">
        <x:v>5</x:v>
      </x:c>
      <x:c r="E690" s="29" t="str">
        <x:v>Let them have their reaction. Your role is to respond appropriately, not require them to be instantly fine.</x:v>
      </x:c>
      <x:c r="F690" s="29" t="str">
        <x:v>Slide 5 of 6. Let them have their reaction. Your role is to respond appropriately, not require them to be instantly fine.</x:v>
      </x:c>
      <x:c r="G690" s="29" t="str">
        <x:v>script</x:v>
      </x:c>
      <x:c r="H690" s="29" t="str">
        <x:v>Draft — owner review</x:v>
      </x:c>
    </x:row>
    <x:row r="691" ht="84" customHeight="1">
      <x:c r="A691" s="29" t="str">
        <x:v>BTB-115</x:v>
      </x:c>
      <x:c r="B691" s="62" t="n">
        <x:v>46437</x:v>
      </x:c>
      <x:c r="C691" s="64" t="str">
        <x:v>P3</x:v>
      </x:c>
      <x:c r="D691" s="64" t="n">
        <x:v>6</x:v>
      </x:c>
      <x:c r="E691" s="29" t="str">
        <x:v>Save this for a repair that needs honesty more than a complicated explanation.</x:v>
      </x:c>
      <x:c r="F691" s="29" t="str">
        <x:v>Slide 6 of 6. Save this for a repair that needs honesty more than a complicated explanation.</x:v>
      </x:c>
      <x:c r="G691" s="29" t="str">
        <x:v>script</x:v>
      </x:c>
      <x:c r="H691" s="29" t="str">
        <x:v>Draft — owner review</x:v>
      </x:c>
    </x:row>
    <x:row r="692" ht="84" customHeight="1">
      <x:c r="A692" s="29" t="str">
        <x:v>BTB-116</x:v>
      </x:c>
      <x:c r="B692" s="62" t="n">
        <x:v>46438</x:v>
      </x:c>
      <x:c r="C692" s="64" t="str">
        <x:v>P4</x:v>
      </x:c>
      <x:c r="D692" s="64" t="n">
        <x:v>1</x:v>
      </x:c>
      <x:c r="E692" s="29" t="str">
        <x:v>A strong connection still needs ordinary questions.</x:v>
      </x:c>
      <x:c r="F692" s="29" t="str">
        <x:v>Slide 1 of 6. A strong connection still needs ordinary questions.</x:v>
      </x:c>
      <x:c r="G692" s="29" t="str">
        <x:v>checklist</x:v>
      </x:c>
      <x:c r="H692" s="29" t="str">
        <x:v>Draft — owner review</x:v>
      </x:c>
    </x:row>
    <x:row r="693" ht="84" customHeight="1">
      <x:c r="A693" s="29" t="str">
        <x:v>BTB-116</x:v>
      </x:c>
      <x:c r="B693" s="62" t="n">
        <x:v>46438</x:v>
      </x:c>
      <x:c r="C693" s="64" t="str">
        <x:v>P4</x:v>
      </x:c>
      <x:c r="D693" s="64" t="n">
        <x:v>2</x:v>
      </x:c>
      <x:c r="E693" s="29" t="str">
        <x:v>Enjoying someone's company does not answer every question about whether your lives and expectations fit.</x:v>
      </x:c>
      <x:c r="F693" s="29" t="str">
        <x:v>Slide 2 of 6. Enjoying someone's company does not answer every question about whether your lives and expectations fit.</x:v>
      </x:c>
      <x:c r="G693" s="29" t="str">
        <x:v>checklist</x:v>
      </x:c>
      <x:c r="H693" s="29" t="str">
        <x:v>Draft — owner review</x:v>
      </x:c>
    </x:row>
    <x:row r="694" ht="84" customHeight="1">
      <x:c r="A694" s="29" t="str">
        <x:v>BTB-116</x:v>
      </x:c>
      <x:c r="B694" s="62" t="n">
        <x:v>46438</x:v>
      </x:c>
      <x:c r="C694" s="64" t="str">
        <x:v>P4</x:v>
      </x:c>
      <x:c r="D694" s="64" t="n">
        <x:v>3</x:v>
      </x:c>
      <x:c r="E694" s="29" t="str">
        <x:v>Talk about time, responsibilities, communication, and what each person is actually looking for.</x:v>
      </x:c>
      <x:c r="F694" s="29" t="str">
        <x:v>Slide 3 of 6. Talk about time, responsibilities, communication, and what each person is actually looking for.</x:v>
      </x:c>
      <x:c r="G694" s="29" t="str">
        <x:v>checklist</x:v>
      </x:c>
      <x:c r="H694" s="29" t="str">
        <x:v>Draft — owner review</x:v>
      </x:c>
    </x:row>
    <x:row r="695" ht="84" customHeight="1">
      <x:c r="A695" s="29" t="str">
        <x:v>BTB-116</x:v>
      </x:c>
      <x:c r="B695" s="62" t="n">
        <x:v>46438</x:v>
      </x:c>
      <x:c r="C695" s="64" t="str">
        <x:v>P4</x:v>
      </x:c>
      <x:c r="D695" s="64" t="n">
        <x:v>4</x:v>
      </x:c>
      <x:c r="E695" s="29" t="str">
        <x:v>Notice whether you can disagree respectfully and ask a question without being pressured to move faster.</x:v>
      </x:c>
      <x:c r="F695" s="29" t="str">
        <x:v>Slide 4 of 6. Notice whether you can disagree respectfully and ask a question without being pressured to move faster.</x:v>
      </x:c>
      <x:c r="G695" s="29" t="str">
        <x:v>checklist</x:v>
      </x:c>
      <x:c r="H695" s="29" t="str">
        <x:v>Draft — owner review</x:v>
      </x:c>
    </x:row>
    <x:row r="696" ht="84" customHeight="1">
      <x:c r="A696" s="29" t="str">
        <x:v>BTB-116</x:v>
      </x:c>
      <x:c r="B696" s="62" t="n">
        <x:v>46438</x:v>
      </x:c>
      <x:c r="C696" s="64" t="str">
        <x:v>P4</x:v>
      </x:c>
      <x:c r="D696" s="64" t="n">
        <x:v>5</x:v>
      </x:c>
      <x:c r="E696" s="29" t="str">
        <x:v>You do not need to decide the entire future. You do need room to learn without abandoning your own life.</x:v>
      </x:c>
      <x:c r="F696" s="29" t="str">
        <x:v>Slide 5 of 6. You do not need to decide the entire future. You do need room to learn without abandoning your own life.</x:v>
      </x:c>
      <x:c r="G696" s="29" t="str">
        <x:v>checklist</x:v>
      </x:c>
      <x:c r="H696" s="29" t="str">
        <x:v>Draft — owner review</x:v>
      </x:c>
    </x:row>
    <x:row r="697" ht="84" customHeight="1">
      <x:c r="A697" s="29" t="str">
        <x:v>BTB-116</x:v>
      </x:c>
      <x:c r="B697" s="62" t="n">
        <x:v>46438</x:v>
      </x:c>
      <x:c r="C697" s="64" t="str">
        <x:v>P4</x:v>
      </x:c>
      <x:c r="D697" s="64" t="n">
        <x:v>6</x:v>
      </x:c>
      <x:c r="E697" s="29" t="str">
        <x:v>Save these questions for a connection that feels exciting enough to skip them.</x:v>
      </x:c>
      <x:c r="F697" s="29" t="str">
        <x:v>Slide 6 of 6. Save these questions for a connection that feels exciting enough to skip them.</x:v>
      </x:c>
      <x:c r="G697" s="29" t="str">
        <x:v>checklist</x:v>
      </x:c>
      <x:c r="H697" s="29" t="str">
        <x:v>Draft — owner review</x:v>
      </x:c>
    </x:row>
    <x:row r="698" ht="84" customHeight="1">
      <x:c r="A698" s="29" t="str">
        <x:v>BTB-117</x:v>
      </x:c>
      <x:c r="B698" s="62" t="n">
        <x:v>46439</x:v>
      </x:c>
      <x:c r="C698" s="64" t="str">
        <x:v>P5</x:v>
      </x:c>
      <x:c r="D698" s="64" t="n">
        <x:v>1</x:v>
      </x:c>
      <x:c r="E698" s="29" t="str">
        <x:v>Keep one promise to yourself instead of making six new ones.</x:v>
      </x:c>
      <x:c r="F698" s="29" t="str">
        <x:v>Slide 1 of 6. Keep one promise to yourself instead of making six new ones.</x:v>
      </x:c>
      <x:c r="G698" s="29" t="str">
        <x:v>contrast</x:v>
      </x:c>
      <x:c r="H698" s="29" t="str">
        <x:v>Draft — owner review</x:v>
      </x:c>
    </x:row>
    <x:row r="699" ht="84" customHeight="1">
      <x:c r="A699" s="29" t="str">
        <x:v>BTB-117</x:v>
      </x:c>
      <x:c r="B699" s="62" t="n">
        <x:v>46439</x:v>
      </x:c>
      <x:c r="C699" s="64" t="str">
        <x:v>P5</x:v>
      </x:c>
      <x:c r="D699" s="64" t="n">
        <x:v>2</x:v>
      </x:c>
      <x:c r="E699" s="29" t="str">
        <x:v>A burst of motivation can create commitments your ordinary week cannot support.</x:v>
      </x:c>
      <x:c r="F699" s="29" t="str">
        <x:v>Slide 2 of 6. A burst of motivation can create commitments your ordinary week cannot support.</x:v>
      </x:c>
      <x:c r="G699" s="29" t="str">
        <x:v>contrast</x:v>
      </x:c>
      <x:c r="H699" s="29" t="str">
        <x:v>Draft — owner review</x:v>
      </x:c>
    </x:row>
    <x:row r="700" ht="84" customHeight="1">
      <x:c r="A700" s="29" t="str">
        <x:v>BTB-117</x:v>
      </x:c>
      <x:c r="B700" s="62" t="n">
        <x:v>46439</x:v>
      </x:c>
      <x:c r="C700" s="64" t="str">
        <x:v>P5</x:v>
      </x:c>
      <x:c r="D700" s="64" t="n">
        <x:v>3</x:v>
      </x:c>
      <x:c r="E700" s="29" t="str">
        <x:v>Choose a promise with a clear action and a realistic finish line.</x:v>
      </x:c>
      <x:c r="F700" s="29" t="str">
        <x:v>Slide 3 of 6. Choose a promise with a clear action and a realistic finish line.</x:v>
      </x:c>
      <x:c r="G700" s="29" t="str">
        <x:v>contrast</x:v>
      </x:c>
      <x:c r="H700" s="29" t="str">
        <x:v>Draft — owner review</x:v>
      </x:c>
    </x:row>
    <x:row r="701" ht="84" customHeight="1">
      <x:c r="A701" s="29" t="str">
        <x:v>BTB-117</x:v>
      </x:c>
      <x:c r="B701" s="62" t="n">
        <x:v>46439</x:v>
      </x:c>
      <x:c r="C701" s="64" t="str">
        <x:v>P5</x:v>
      </x:c>
      <x:c r="D701" s="64" t="n">
        <x:v>4</x:v>
      </x:c>
      <x:c r="E701" s="29" t="str">
        <x:v>Make it about your behaviour, not a guaranteed outcome: send the enquiry, prepare the document, or attend the appointment.</x:v>
      </x:c>
      <x:c r="F701" s="29" t="str">
        <x:v>Slide 4 of 6. Make it about your behaviour, not a guaranteed outcome: send the enquiry, prepare the document, or attend the appointment.</x:v>
      </x:c>
      <x:c r="G701" s="29" t="str">
        <x:v>contrast</x:v>
      </x:c>
      <x:c r="H701" s="29" t="str">
        <x:v>Draft — owner review</x:v>
      </x:c>
    </x:row>
    <x:row r="702" ht="84" customHeight="1">
      <x:c r="A702" s="29" t="str">
        <x:v>BTB-117</x:v>
      </x:c>
      <x:c r="B702" s="62" t="n">
        <x:v>46439</x:v>
      </x:c>
      <x:c r="C702" s="64" t="str">
        <x:v>P5</x:v>
      </x:c>
      <x:c r="D702" s="64" t="n">
        <x:v>5</x:v>
      </x:c>
      <x:c r="E702" s="29" t="str">
        <x:v>Review what happened before expanding the plan. Reliability can be a better goal than dramatic intensity.</x:v>
      </x:c>
      <x:c r="F702" s="29" t="str">
        <x:v>Slide 5 of 6. Review what happened before expanding the plan. Reliability can be a better goal than dramatic intensity.</x:v>
      </x:c>
      <x:c r="G702" s="29" t="str">
        <x:v>contrast</x:v>
      </x:c>
      <x:c r="H702" s="29" t="str">
        <x:v>Draft — owner review</x:v>
      </x:c>
    </x:row>
    <x:row r="703" ht="84" customHeight="1">
      <x:c r="A703" s="29" t="str">
        <x:v>BTB-117</x:v>
      </x:c>
      <x:c r="B703" s="62" t="n">
        <x:v>46439</x:v>
      </x:c>
      <x:c r="C703" s="64" t="str">
        <x:v>P5</x:v>
      </x:c>
      <x:c r="D703" s="64" t="n">
        <x:v>6</x:v>
      </x:c>
      <x:c r="E703" s="29" t="str">
        <x:v>Save this when a hopeful evening is about to overbook your future self.</x:v>
      </x:c>
      <x:c r="F703" s="29" t="str">
        <x:v>Slide 6 of 6. Save this when a hopeful evening is about to overbook your future self.</x:v>
      </x:c>
      <x:c r="G703" s="29" t="str">
        <x:v>contrast</x:v>
      </x:c>
      <x:c r="H703" s="29" t="str">
        <x:v>Draft — owner review</x:v>
      </x:c>
    </x:row>
    <x:row r="704" ht="84" customHeight="1">
      <x:c r="A704" s="29" t="str">
        <x:v>BTB-118</x:v>
      </x:c>
      <x:c r="B704" s="62" t="n">
        <x:v>46440</x:v>
      </x:c>
      <x:c r="C704" s="64" t="str">
        <x:v>P1</x:v>
      </x:c>
      <x:c r="D704" s="64" t="n">
        <x:v>1</x:v>
      </x:c>
      <x:c r="E704" s="29" t="str">
        <x:v>You may not get the explanation you wish the ending came with.</x:v>
      </x:c>
      <x:c r="F704" s="29" t="str">
        <x:v>Slide 1 of 6. You may not get the explanation you wish the ending came with.</x:v>
      </x:c>
      <x:c r="G704" s="29" t="str">
        <x:v>editorial</x:v>
      </x:c>
      <x:c r="H704" s="29" t="str">
        <x:v>Draft — owner review</x:v>
      </x:c>
    </x:row>
    <x:row r="705" ht="84" customHeight="1">
      <x:c r="A705" s="29" t="str">
        <x:v>BTB-118</x:v>
      </x:c>
      <x:c r="B705" s="62" t="n">
        <x:v>46440</x:v>
      </x:c>
      <x:c r="C705" s="64" t="str">
        <x:v>P1</x:v>
      </x:c>
      <x:c r="D705" s="64" t="n">
        <x:v>2</x:v>
      </x:c>
      <x:c r="E705" s="29" t="str">
        <x:v>Some questions can be asked. Some answers may remain incomplete, unsatisfying, or unavailable.</x:v>
      </x:c>
      <x:c r="F705" s="29" t="str">
        <x:v>Slide 2 of 6. Some questions can be asked. Some answers may remain incomplete, unsatisfying, or unavailable.</x:v>
      </x:c>
      <x:c r="G705" s="29" t="str">
        <x:v>editorial</x:v>
      </x:c>
      <x:c r="H705" s="29" t="str">
        <x:v>Draft — owner review</x:v>
      </x:c>
    </x:row>
    <x:row r="706" ht="84" customHeight="1">
      <x:c r="A706" s="29" t="str">
        <x:v>BTB-118</x:v>
      </x:c>
      <x:c r="B706" s="62" t="n">
        <x:v>46440</x:v>
      </x:c>
      <x:c r="C706" s="64" t="str">
        <x:v>P1</x:v>
      </x:c>
      <x:c r="D706" s="64" t="n">
        <x:v>3</x:v>
      </x:c>
      <x:c r="E706" s="29" t="str">
        <x:v>Separate the information you need for a practical decision from the explanation you hope will make it hurt less.</x:v>
      </x:c>
      <x:c r="F706" s="29" t="str">
        <x:v>Slide 3 of 6. Separate the information you need for a practical decision from the explanation you hope will make it hurt less.</x:v>
      </x:c>
      <x:c r="G706" s="29" t="str">
        <x:v>editorial</x:v>
      </x:c>
      <x:c r="H706" s="29" t="str">
        <x:v>Draft — owner review</x:v>
      </x:c>
    </x:row>
    <x:row r="707" ht="84" customHeight="1">
      <x:c r="A707" s="29" t="str">
        <x:v>BTB-118</x:v>
      </x:c>
      <x:c r="B707" s="62" t="n">
        <x:v>46440</x:v>
      </x:c>
      <x:c r="C707" s="64" t="str">
        <x:v>P1</x:v>
      </x:c>
      <x:c r="D707" s="64" t="n">
        <x:v>4</x:v>
      </x:c>
      <x:c r="E707" s="29" t="str">
        <x:v>Seek appropriate help with the first. Find a trustworthy place to process the second.</x:v>
      </x:c>
      <x:c r="F707" s="29" t="str">
        <x:v>Slide 4 of 6. Seek appropriate help with the first. Find a trustworthy place to process the second.</x:v>
      </x:c>
      <x:c r="G707" s="29" t="str">
        <x:v>editorial</x:v>
      </x:c>
      <x:c r="H707" s="29" t="str">
        <x:v>Draft — owner review</x:v>
      </x:c>
    </x:row>
    <x:row r="708" ht="84" customHeight="1">
      <x:c r="A708" s="29" t="str">
        <x:v>BTB-118</x:v>
      </x:c>
      <x:c r="B708" s="62" t="n">
        <x:v>46440</x:v>
      </x:c>
      <x:c r="C708" s="64" t="str">
        <x:v>P1</x:v>
      </x:c>
      <x:c r="D708" s="64" t="n">
        <x:v>5</x:v>
      </x:c>
      <x:c r="E708" s="29" t="str">
        <x:v>Do not let the absence of a perfect explanation prevent every unrelated choice in your life.</x:v>
      </x:c>
      <x:c r="F708" s="29" t="str">
        <x:v>Slide 5 of 6. Do not let the absence of a perfect explanation prevent every unrelated choice in your life.</x:v>
      </x:c>
      <x:c r="G708" s="29" t="str">
        <x:v>editorial</x:v>
      </x:c>
      <x:c r="H708" s="29" t="str">
        <x:v>Draft — owner review</x:v>
      </x:c>
    </x:row>
    <x:row r="709" ht="84" customHeight="1">
      <x:c r="A709" s="29" t="str">
        <x:v>BTB-118</x:v>
      </x:c>
      <x:c r="B709" s="62" t="n">
        <x:v>46440</x:v>
      </x:c>
      <x:c r="C709" s="64" t="str">
        <x:v>P1</x:v>
      </x:c>
      <x:c r="D709" s="64" t="n">
        <x:v>6</x:v>
      </x:c>
      <x:c r="E709" s="29" t="str">
        <x:v>Send this to someone waiting for one conversation to unlock the rest of their future.</x:v>
      </x:c>
      <x:c r="F709" s="29" t="str">
        <x:v>Slide 6 of 6. Send this to someone waiting for one conversation to unlock the rest of their future.</x:v>
      </x:c>
      <x:c r="G709" s="29" t="str">
        <x:v>editorial</x:v>
      </x:c>
      <x:c r="H709" s="29" t="str">
        <x:v>Draft — owner review</x:v>
      </x:c>
    </x:row>
    <x:row r="710" ht="84" customHeight="1">
      <x:c r="A710" s="29" t="str">
        <x:v>BTB-119</x:v>
      </x:c>
      <x:c r="B710" s="62" t="n">
        <x:v>46441</x:v>
      </x:c>
      <x:c r="C710" s="64" t="str">
        <x:v>P2</x:v>
      </x:c>
      <x:c r="D710" s="64" t="n">
        <x:v>1</x:v>
      </x:c>
      <x:c r="E710" s="29" t="str">
        <x:v>When a friend goes quiet, ask before writing the whole story yourself.</x:v>
      </x:c>
      <x:c r="F710" s="29" t="str">
        <x:v>Slide 1 of 6. When a friend goes quiet, ask before writing the whole story yourself.</x:v>
      </x:c>
      <x:c r="G710" s="29" t="str">
        <x:v>script</x:v>
      </x:c>
      <x:c r="H710" s="29" t="str">
        <x:v>Draft — owner review</x:v>
      </x:c>
    </x:row>
    <x:row r="711" ht="84" customHeight="1">
      <x:c r="A711" s="29" t="str">
        <x:v>BTB-119</x:v>
      </x:c>
      <x:c r="B711" s="62" t="n">
        <x:v>46441</x:v>
      </x:c>
      <x:c r="C711" s="64" t="str">
        <x:v>P2</x:v>
      </x:c>
      <x:c r="D711" s="64" t="n">
        <x:v>2</x:v>
      </x:c>
      <x:c r="E711" s="29" t="str">
        <x:v>You may feel forgotten. You may also have incomplete information about what is happening in their life.</x:v>
      </x:c>
      <x:c r="F711" s="29" t="str">
        <x:v>Slide 2 of 6. You may feel forgotten. You may also have incomplete information about what is happening in their life.</x:v>
      </x:c>
      <x:c r="G711" s="29" t="str">
        <x:v>script</x:v>
      </x:c>
      <x:c r="H711" s="29" t="str">
        <x:v>Draft — owner review</x:v>
      </x:c>
    </x:row>
    <x:row r="712" ht="84" customHeight="1">
      <x:c r="A712" s="29" t="str">
        <x:v>BTB-119</x:v>
      </x:c>
      <x:c r="B712" s="62" t="n">
        <x:v>46441</x:v>
      </x:c>
      <x:c r="C712" s="64" t="str">
        <x:v>P2</x:v>
      </x:c>
      <x:c r="D712" s="64" t="n">
        <x:v>3</x:v>
      </x:c>
      <x:c r="E712" s="29" t="str">
        <x:v>Try: “We haven't connected recently. I'd like to catch up. Is there a time that works for you?”</x:v>
      </x:c>
      <x:c r="F712" s="29" t="str">
        <x:v>Slide 3 of 6. Try: “We haven't connected recently. I'd like to catch up. Is there a time that works for you?”</x:v>
      </x:c>
      <x:c r="G712" s="29" t="str">
        <x:v>script</x:v>
      </x:c>
      <x:c r="H712" s="29" t="str">
        <x:v>Draft — owner review</x:v>
      </x:c>
    </x:row>
    <x:row r="713" ht="84" customHeight="1">
      <x:c r="A713" s="29" t="str">
        <x:v>BTB-119</x:v>
      </x:c>
      <x:c r="B713" s="62" t="n">
        <x:v>46441</x:v>
      </x:c>
      <x:c r="C713" s="64" t="str">
        <x:v>P2</x:v>
      </x:c>
      <x:c r="D713" s="64" t="n">
        <x:v>4</x:v>
      </x:c>
      <x:c r="E713" s="29" t="str">
        <x:v>Notice the pattern over time without chasing indefinitely or using silence as a test in return.</x:v>
      </x:c>
      <x:c r="F713" s="29" t="str">
        <x:v>Slide 4 of 6. Notice the pattern over time without chasing indefinitely or using silence as a test in return.</x:v>
      </x:c>
      <x:c r="G713" s="29" t="str">
        <x:v>script</x:v>
      </x:c>
      <x:c r="H713" s="29" t="str">
        <x:v>Draft — owner review</x:v>
      </x:c>
    </x:row>
    <x:row r="714" ht="84" customHeight="1">
      <x:c r="A714" s="29" t="str">
        <x:v>BTB-119</x:v>
      </x:c>
      <x:c r="B714" s="62" t="n">
        <x:v>46441</x:v>
      </x:c>
      <x:c r="C714" s="64" t="str">
        <x:v>P2</x:v>
      </x:c>
      <x:c r="D714" s="64" t="n">
        <x:v>5</x:v>
      </x:c>
      <x:c r="E714" s="29" t="str">
        <x:v>Build connection in more than one place. One friendship does not have to carry every need.</x:v>
      </x:c>
      <x:c r="F714" s="29" t="str">
        <x:v>Slide 5 of 6. Build connection in more than one place. One friendship does not have to carry every need.</x:v>
      </x:c>
      <x:c r="G714" s="29" t="str">
        <x:v>script</x:v>
      </x:c>
      <x:c r="H714" s="29" t="str">
        <x:v>Draft — owner review</x:v>
      </x:c>
    </x:row>
    <x:row r="715" ht="84" customHeight="1">
      <x:c r="A715" s="29" t="str">
        <x:v>BTB-119</x:v>
      </x:c>
      <x:c r="B715" s="62" t="n">
        <x:v>46441</x:v>
      </x:c>
      <x:c r="C715" s="64" t="str">
        <x:v>P2</x:v>
      </x:c>
      <x:c r="D715" s="64" t="n">
        <x:v>6</x:v>
      </x:c>
      <x:c r="E715" s="29" t="str">
        <x:v>Save the sentence for a friendship you miss but have not clearly reached toward.</x:v>
      </x:c>
      <x:c r="F715" s="29" t="str">
        <x:v>Slide 6 of 6. Save the sentence for a friendship you miss but have not clearly reached toward.</x:v>
      </x:c>
      <x:c r="G715" s="29" t="str">
        <x:v>script</x:v>
      </x:c>
      <x:c r="H715" s="29" t="str">
        <x:v>Draft — owner review</x:v>
      </x:c>
    </x:row>
    <x:row r="716" ht="84" customHeight="1">
      <x:c r="A716" s="29" t="str">
        <x:v>BTB-120</x:v>
      </x:c>
      <x:c r="B716" s="62" t="n">
        <x:v>46442</x:v>
      </x:c>
      <x:c r="C716" s="64" t="str">
        <x:v>P6</x:v>
      </x:c>
      <x:c r="D716" s="64" t="n">
        <x:v>1</x:v>
      </x:c>
      <x:c r="E716" s="29" t="str">
        <x:v>The audience can shape this page. It will not erase its boundaries.</x:v>
      </x:c>
      <x:c r="F716" s="29" t="str">
        <x:v>Slide 1 of 6. The audience can shape this page. It will not erase its boundaries.</x:v>
      </x:c>
      <x:c r="G716" s="29" t="str">
        <x:v>letter</x:v>
      </x:c>
      <x:c r="H716" s="29" t="str">
        <x:v>Draft — owner review</x:v>
      </x:c>
    </x:row>
    <x:row r="717" ht="84" customHeight="1">
      <x:c r="A717" s="29" t="str">
        <x:v>BTB-120</x:v>
      </x:c>
      <x:c r="B717" s="62" t="n">
        <x:v>46442</x:v>
      </x:c>
      <x:c r="C717" s="64" t="str">
        <x:v>P6</x:v>
      </x:c>
      <x:c r="D717" s="64" t="n">
        <x:v>2</x:v>
      </x:c>
      <x:c r="E717" s="29" t="str">
        <x:v>I want to learn which topics and practical tools are genuinely useful to people rebuilding.</x:v>
      </x:c>
      <x:c r="F717" s="29" t="str">
        <x:v>Slide 2 of 6. I want to learn which topics and practical tools are genuinely useful to people rebuilding.</x:v>
      </x:c>
      <x:c r="G717" s="29" t="str">
        <x:v>letter</x:v>
      </x:c>
      <x:c r="H717" s="29" t="str">
        <x:v>Draft — owner review</x:v>
      </x:c>
    </x:row>
    <x:row r="718" ht="84" customHeight="1">
      <x:c r="A718" s="29" t="str">
        <x:v>BTB-120</x:v>
      </x:c>
      <x:c r="B718" s="62" t="n">
        <x:v>46442</x:v>
      </x:c>
      <x:c r="C718" s="64" t="str">
        <x:v>P6</x:v>
      </x:c>
      <x:c r="D718" s="64" t="n">
        <x:v>3</x:v>
      </x:c>
      <x:c r="E718" s="29" t="str">
        <x:v>That does not mean I will turn private disputes, diagnoses, or outrage into content because they attract attention.</x:v>
      </x:c>
      <x:c r="F718" s="29" t="str">
        <x:v>Slide 3 of 6. That does not mean I will turn private disputes, diagnoses, or outrage into content because they attract attention.</x:v>
      </x:c>
      <x:c r="G718" s="29" t="str">
        <x:v>letter</x:v>
      </x:c>
      <x:c r="H718" s="29" t="str">
        <x:v>Draft — owner review</x:v>
      </x:c>
    </x:row>
    <x:row r="719" ht="84" customHeight="1">
      <x:c r="A719" s="29" t="str">
        <x:v>BTB-120</x:v>
      </x:c>
      <x:c r="B719" s="62" t="n">
        <x:v>46442</x:v>
      </x:c>
      <x:c r="C719" s="64" t="str">
        <x:v>P6</x:v>
      </x:c>
      <x:c r="D719" s="64" t="n">
        <x:v>4</x:v>
      </x:c>
      <x:c r="E719" s="29" t="str">
        <x:v>Questions are welcome. Private case files, children's details, and demands to judge another person are not needed here.</x:v>
      </x:c>
      <x:c r="F719" s="29" t="str">
        <x:v>Slide 4 of 6. Questions are welcome. Private case files, children's details, and demands to judge another person are not needed here.</x:v>
      </x:c>
      <x:c r="G719" s="29" t="str">
        <x:v>letter</x:v>
      </x:c>
      <x:c r="H719" s="29" t="str">
        <x:v>Draft — owner review</x:v>
      </x:c>
    </x:row>
    <x:row r="720" ht="84" customHeight="1">
      <x:c r="A720" s="29" t="str">
        <x:v>BTB-120</x:v>
      </x:c>
      <x:c r="B720" s="62" t="n">
        <x:v>46442</x:v>
      </x:c>
      <x:c r="C720" s="64" t="str">
        <x:v>P6</x:v>
      </x:c>
      <x:c r="D720" s="64" t="n">
        <x:v>5</x:v>
      </x:c>
      <x:c r="E720" s="29" t="str">
        <x:v>The direction stays the same: honest experience, thoughtful perspective, and a useful next step.</x:v>
      </x:c>
      <x:c r="F720" s="29" t="str">
        <x:v>Slide 5 of 6. The direction stays the same: honest experience, thoughtful perspective, and a useful next step.</x:v>
      </x:c>
      <x:c r="G720" s="29" t="str">
        <x:v>letter</x:v>
      </x:c>
      <x:c r="H720" s="29" t="str">
        <x:v>Draft — owner review</x:v>
      </x:c>
    </x:row>
    <x:row r="721" ht="84" customHeight="1">
      <x:c r="A721" s="29" t="str">
        <x:v>BTB-120</x:v>
      </x:c>
      <x:c r="B721" s="62" t="n">
        <x:v>46442</x:v>
      </x:c>
      <x:c r="C721" s="64" t="str">
        <x:v>P6</x:v>
      </x:c>
      <x:c r="D721" s="64" t="n">
        <x:v>6</x:v>
      </x:c>
      <x:c r="E721" s="29" t="str">
        <x:v>Follow a page that intends to grow without making pain its only product.</x:v>
      </x:c>
      <x:c r="F721" s="29" t="str">
        <x:v>Slide 6 of 6. Follow a page that intends to grow without making pain its only product.</x:v>
      </x:c>
      <x:c r="G721" s="29" t="str">
        <x:v>letter</x:v>
      </x:c>
      <x:c r="H721" s="29" t="str">
        <x:v>Draft — owner review</x:v>
      </x:c>
    </x:row>
    <x:row r="722" ht="84" customHeight="1">
      <x:c r="A722" s="29" t="str">
        <x:v>BTB-121</x:v>
      </x:c>
      <x:c r="B722" s="62" t="n">
        <x:v>46443</x:v>
      </x:c>
      <x:c r="C722" s="64" t="str">
        <x:v>P1</x:v>
      </x:c>
      <x:c r="D722" s="64" t="n">
        <x:v>1</x:v>
      </x:c>
      <x:c r="E722" s="29" t="str">
        <x:v>Enjoying your life again does not mean the past meant nothing.</x:v>
      </x:c>
      <x:c r="F722" s="29" t="str">
        <x:v>Slide 1 of 6. Enjoying your life again does not mean the past meant nothing.</x:v>
      </x:c>
      <x:c r="G722" s="29" t="str">
        <x:v>editorial</x:v>
      </x:c>
      <x:c r="H722" s="29" t="str">
        <x:v>Draft — owner review</x:v>
      </x:c>
    </x:row>
    <x:row r="723" ht="84" customHeight="1">
      <x:c r="A723" s="29" t="str">
        <x:v>BTB-121</x:v>
      </x:c>
      <x:c r="B723" s="62" t="n">
        <x:v>46443</x:v>
      </x:c>
      <x:c r="C723" s="64" t="str">
        <x:v>P1</x:v>
      </x:c>
      <x:c r="D723" s="64" t="n">
        <x:v>2</x:v>
      </x:c>
      <x:c r="E723" s="29" t="str">
        <x:v>A new friendship, interest, or good day does not require you to rewrite an important relationship as meaningless.</x:v>
      </x:c>
      <x:c r="F723" s="29" t="str">
        <x:v>Slide 2 of 6. A new friendship, interest, or good day does not require you to rewrite an important relationship as meaningless.</x:v>
      </x:c>
      <x:c r="G723" s="29" t="str">
        <x:v>editorial</x:v>
      </x:c>
      <x:c r="H723" s="29" t="str">
        <x:v>Draft — owner review</x:v>
      </x:c>
    </x:row>
    <x:row r="724" ht="84" customHeight="1">
      <x:c r="A724" s="29" t="str">
        <x:v>BTB-121</x:v>
      </x:c>
      <x:c r="B724" s="62" t="n">
        <x:v>46443</x:v>
      </x:c>
      <x:c r="C724" s="64" t="str">
        <x:v>P1</x:v>
      </x:c>
      <x:c r="D724" s="64" t="n">
        <x:v>3</x:v>
      </x:c>
      <x:c r="E724" s="29" t="str">
        <x:v>You can acknowledge what mattered and still make room for what is here now.</x:v>
      </x:c>
      <x:c r="F724" s="29" t="str">
        <x:v>Slide 3 of 6. You can acknowledge what mattered and still make room for what is here now.</x:v>
      </x:c>
      <x:c r="G724" s="29" t="str">
        <x:v>editorial</x:v>
      </x:c>
      <x:c r="H724" s="29" t="str">
        <x:v>Draft — owner review</x:v>
      </x:c>
    </x:row>
    <x:row r="725" ht="84" customHeight="1">
      <x:c r="A725" s="29" t="str">
        <x:v>BTB-121</x:v>
      </x:c>
      <x:c r="B725" s="62" t="n">
        <x:v>46443</x:v>
      </x:c>
      <x:c r="C725" s="64" t="str">
        <x:v>P1</x:v>
      </x:c>
      <x:c r="D725" s="64" t="n">
        <x:v>4</x:v>
      </x:c>
      <x:c r="E725" s="29" t="str">
        <x:v>Notice whether guilt is asking you to stay unhappy as proof that you cared.</x:v>
      </x:c>
      <x:c r="F725" s="29" t="str">
        <x:v>Slide 4 of 6. Notice whether guilt is asking you to stay unhappy as proof that you cared.</x:v>
      </x:c>
      <x:c r="G725" s="29" t="str">
        <x:v>editorial</x:v>
      </x:c>
      <x:c r="H725" s="29" t="str">
        <x:v>Draft — owner review</x:v>
      </x:c>
    </x:row>
    <x:row r="726" ht="84" customHeight="1">
      <x:c r="A726" s="29" t="str">
        <x:v>BTB-121</x:v>
      </x:c>
      <x:c r="B726" s="62" t="n">
        <x:v>46443</x:v>
      </x:c>
      <x:c r="C726" s="64" t="str">
        <x:v>P1</x:v>
      </x:c>
      <x:c r="D726" s="64" t="n">
        <x:v>5</x:v>
      </x:c>
      <x:c r="E726" s="29" t="str">
        <x:v>Bring that question to someone trustworthy if it is difficult to untangle alone.</x:v>
      </x:c>
      <x:c r="F726" s="29" t="str">
        <x:v>Slide 5 of 6. Bring that question to someone trustworthy if it is difficult to untangle alone.</x:v>
      </x:c>
      <x:c r="G726" s="29" t="str">
        <x:v>editorial</x:v>
      </x:c>
      <x:c r="H726" s="29" t="str">
        <x:v>Draft — owner review</x:v>
      </x:c>
    </x:row>
    <x:row r="727" ht="84" customHeight="1">
      <x:c r="A727" s="29" t="str">
        <x:v>BTB-121</x:v>
      </x:c>
      <x:c r="B727" s="62" t="n">
        <x:v>46443</x:v>
      </x:c>
      <x:c r="C727" s="64" t="str">
        <x:v>P1</x:v>
      </x:c>
      <x:c r="D727" s="64" t="n">
        <x:v>6</x:v>
      </x:c>
      <x:c r="E727" s="29" t="str">
        <x:v>Share this with someone who feels they need permission to enjoy a life that changed.</x:v>
      </x:c>
      <x:c r="F727" s="29" t="str">
        <x:v>Slide 6 of 6. Share this with someone who feels they need permission to enjoy a life that changed.</x:v>
      </x:c>
      <x:c r="G727" s="29" t="str">
        <x:v>editorial</x:v>
      </x:c>
      <x:c r="H727" s="29" t="str">
        <x:v>Draft — owner review</x:v>
      </x:c>
    </x:row>
    <x:row r="728" ht="84" customHeight="1">
      <x:c r="A728" s="29" t="str">
        <x:v>BTB-122</x:v>
      </x:c>
      <x:c r="B728" s="62" t="n">
        <x:v>46444</x:v>
      </x:c>
      <x:c r="C728" s="64" t="str">
        <x:v>P2</x:v>
      </x:c>
      <x:c r="D728" s="64" t="n">
        <x:v>1</x:v>
      </x:c>
      <x:c r="E728" s="29" t="str">
        <x:v>You can answer the question without answering every accusation around it.</x:v>
      </x:c>
      <x:c r="F728" s="29" t="str">
        <x:v>Slide 1 of 6. You can answer the question without answering every accusation around it.</x:v>
      </x:c>
      <x:c r="G728" s="29" t="str">
        <x:v>script</x:v>
      </x:c>
      <x:c r="H728" s="29" t="str">
        <x:v>Draft — owner review</x:v>
      </x:c>
    </x:row>
    <x:row r="729" ht="84" customHeight="1">
      <x:c r="A729" s="29" t="str">
        <x:v>BTB-122</x:v>
      </x:c>
      <x:c r="B729" s="62" t="n">
        <x:v>46444</x:v>
      </x:c>
      <x:c r="C729" s="64" t="str">
        <x:v>P2</x:v>
      </x:c>
      <x:c r="D729" s="64" t="n">
        <x:v>2</x:v>
      </x:c>
      <x:c r="E729" s="29" t="str">
        <x:v>A message may contain a practical request alongside several things you feel compelled to defend.</x:v>
      </x:c>
      <x:c r="F729" s="29" t="str">
        <x:v>Slide 2 of 6. A message may contain a practical request alongside several things you feel compelled to defend.</x:v>
      </x:c>
      <x:c r="G729" s="29" t="str">
        <x:v>script</x:v>
      </x:c>
      <x:c r="H729" s="29" t="str">
        <x:v>Draft — owner review</x:v>
      </x:c>
    </x:row>
    <x:row r="730" ht="84" customHeight="1">
      <x:c r="A730" s="29" t="str">
        <x:v>BTB-122</x:v>
      </x:c>
      <x:c r="B730" s="62" t="n">
        <x:v>46444</x:v>
      </x:c>
      <x:c r="C730" s="64" t="str">
        <x:v>P2</x:v>
      </x:c>
      <x:c r="D730" s="64" t="n">
        <x:v>3</x:v>
      </x:c>
      <x:c r="E730" s="29" t="str">
        <x:v>Identify what requires a response. Where appropriate, try: “Regarding the appointment, I can confirm the following details…”</x:v>
      </x:c>
      <x:c r="F730" s="29" t="str">
        <x:v>Slide 3 of 6. Identify what requires a response. Where appropriate, try: “Regarding the appointment, I can confirm the following details…”</x:v>
      </x:c>
      <x:c r="G730" s="29" t="str">
        <x:v>script</x:v>
      </x:c>
      <x:c r="H730" s="29" t="str">
        <x:v>Draft — owner review</x:v>
      </x:c>
    </x:row>
    <x:row r="731" ht="84" customHeight="1">
      <x:c r="A731" s="29" t="str">
        <x:v>BTB-122</x:v>
      </x:c>
      <x:c r="B731" s="62" t="n">
        <x:v>46444</x:v>
      </x:c>
      <x:c r="C731" s="64" t="str">
        <x:v>P2</x:v>
      </x:c>
      <x:c r="D731" s="64" t="n">
        <x:v>4</x:v>
      </x:c>
      <x:c r="E731" s="29" t="str">
        <x:v>Handle serious allegations, legal questions, or safety concerns through the appropriate professional channel rather than ignoring them.</x:v>
      </x:c>
      <x:c r="F731" s="29" t="str">
        <x:v>Slide 4 of 6. Handle serious allegations, legal questions, or safety concerns through the appropriate professional channel rather than ignoring them.</x:v>
      </x:c>
      <x:c r="G731" s="29" t="str">
        <x:v>script</x:v>
      </x:c>
      <x:c r="H731" s="29" t="str">
        <x:v>Draft — owner review</x:v>
      </x:c>
    </x:row>
    <x:row r="732" ht="84" customHeight="1">
      <x:c r="A732" s="29" t="str">
        <x:v>BTB-122</x:v>
      </x:c>
      <x:c r="B732" s="62" t="n">
        <x:v>46444</x:v>
      </x:c>
      <x:c r="C732" s="64" t="str">
        <x:v>P2</x:v>
      </x:c>
      <x:c r="D732" s="64" t="n">
        <x:v>5</x:v>
      </x:c>
      <x:c r="E732" s="29" t="str">
        <x:v>For ordinary friction, decide whether another defensive paragraph will help resolve the actual task.</x:v>
      </x:c>
      <x:c r="F732" s="29" t="str">
        <x:v>Slide 5 of 6. For ordinary friction, decide whether another defensive paragraph will help resolve the actual task.</x:v>
      </x:c>
      <x:c r="G732" s="29" t="str">
        <x:v>script</x:v>
      </x:c>
      <x:c r="H732" s="29" t="str">
        <x:v>Draft — owner review</x:v>
      </x:c>
    </x:row>
    <x:row r="733" ht="84" customHeight="1">
      <x:c r="A733" s="29" t="str">
        <x:v>BTB-122</x:v>
      </x:c>
      <x:c r="B733" s="62" t="n">
        <x:v>46444</x:v>
      </x:c>
      <x:c r="C733" s="64" t="str">
        <x:v>P2</x:v>
      </x:c>
      <x:c r="D733" s="64" t="n">
        <x:v>6</x:v>
      </x:c>
      <x:c r="E733" s="29" t="str">
        <x:v>Save this distinction: a necessary response does not always require a response to every sentence.</x:v>
      </x:c>
      <x:c r="F733" s="29" t="str">
        <x:v>Slide 6 of 6. Save this distinction: a necessary response does not always require a response to every sentence.</x:v>
      </x:c>
      <x:c r="G733" s="29" t="str">
        <x:v>script</x:v>
      </x:c>
      <x:c r="H733" s="29" t="str">
        <x:v>Draft — owner review</x:v>
      </x:c>
    </x:row>
    <x:row r="734" ht="84" customHeight="1">
      <x:c r="A734" s="29" t="str">
        <x:v>BTB-123</x:v>
      </x:c>
      <x:c r="B734" s="62" t="n">
        <x:v>46445</x:v>
      </x:c>
      <x:c r="C734" s="64" t="str">
        <x:v>P3</x:v>
      </x:c>
      <x:c r="D734" s="64" t="n">
        <x:v>1</x:v>
      </x:c>
      <x:c r="E734" s="29" t="str">
        <x:v>A request is clearer when the decision and timing are visible.</x:v>
      </x:c>
      <x:c r="F734" s="29" t="str">
        <x:v>Slide 1 of 6. A request is clearer when the decision and timing are visible.</x:v>
      </x:c>
      <x:c r="G734" s="29" t="str">
        <x:v>script</x:v>
      </x:c>
      <x:c r="H734" s="29" t="str">
        <x:v>Draft — owner review</x:v>
      </x:c>
    </x:row>
    <x:row r="735" ht="84" customHeight="1">
      <x:c r="A735" s="29" t="str">
        <x:v>BTB-123</x:v>
      </x:c>
      <x:c r="B735" s="62" t="n">
        <x:v>46445</x:v>
      </x:c>
      <x:c r="C735" s="64" t="str">
        <x:v>P3</x:v>
      </x:c>
      <x:c r="D735" s="64" t="n">
        <x:v>2</x:v>
      </x:c>
      <x:c r="E735" s="29" t="str">
        <x:v>“Let me know” can leave a practical parenting question open without either adult knowing when it needs attention.</x:v>
      </x:c>
      <x:c r="F735" s="29" t="str">
        <x:v>Slide 2 of 6. “Let me know” can leave a practical parenting question open without either adult knowing when it needs attention.</x:v>
      </x:c>
      <x:c r="G735" s="29" t="str">
        <x:v>script</x:v>
      </x:c>
      <x:c r="H735" s="29" t="str">
        <x:v>Draft — owner review</x:v>
      </x:c>
    </x:row>
    <x:row r="736" ht="84" customHeight="1">
      <x:c r="A736" s="29" t="str">
        <x:v>BTB-123</x:v>
      </x:c>
      <x:c r="B736" s="62" t="n">
        <x:v>46445</x:v>
      </x:c>
      <x:c r="C736" s="64" t="str">
        <x:v>P3</x:v>
      </x:c>
      <x:c r="D736" s="64" t="n">
        <x:v>3</x:v>
      </x:c>
      <x:c r="E736" s="29" t="str">
        <x:v>Try: “The form is due on Friday. Could you confirm the required decision by Thursday through our usual channel?”</x:v>
      </x:c>
      <x:c r="F736" s="29" t="str">
        <x:v>Slide 3 of 6. Try: “The form is due on Friday. Could you confirm the required decision by Thursday through our usual channel?”</x:v>
      </x:c>
      <x:c r="G736" s="29" t="str">
        <x:v>script</x:v>
      </x:c>
      <x:c r="H736" s="29" t="str">
        <x:v>Draft — owner review</x:v>
      </x:c>
    </x:row>
    <x:row r="737" ht="84" customHeight="1">
      <x:c r="A737" s="29" t="str">
        <x:v>BTB-123</x:v>
      </x:c>
      <x:c r="B737" s="62" t="n">
        <x:v>46445</x:v>
      </x:c>
      <x:c r="C737" s="64" t="str">
        <x:v>P3</x:v>
      </x:c>
      <x:c r="D737" s="64" t="n">
        <x:v>4</x:v>
      </x:c>
      <x:c r="E737" s="29" t="str">
        <x:v>Use a reasonable timeframe that fits your arrangements. Do not invent a deadline to pressure the other parent.</x:v>
      </x:c>
      <x:c r="F737" s="29" t="str">
        <x:v>Slide 4 of 6. Use a reasonable timeframe that fits your arrangements. Do not invent a deadline to pressure the other parent.</x:v>
      </x:c>
      <x:c r="G737" s="29" t="str">
        <x:v>script</x:v>
      </x:c>
      <x:c r="H737" s="29" t="str">
        <x:v>Draft — owner review</x:v>
      </x:c>
    </x:row>
    <x:row r="738" ht="84" customHeight="1">
      <x:c r="A738" s="29" t="str">
        <x:v>BTB-123</x:v>
      </x:c>
      <x:c r="B738" s="62" t="n">
        <x:v>46445</x:v>
      </x:c>
      <x:c r="C738" s="64" t="str">
        <x:v>P3</x:v>
      </x:c>
      <x:c r="D738" s="64" t="n">
        <x:v>5</x:v>
      </x:c>
      <x:c r="E738" s="29" t="str">
        <x:v>Where the decision is disputed or urgent, use the appropriate advice or process rather than assuming silence means agreement.</x:v>
      </x:c>
      <x:c r="F738" s="29" t="str">
        <x:v>Slide 5 of 6. Where the decision is disputed or urgent, use the appropriate advice or process rather than assuming silence means agreement.</x:v>
      </x:c>
      <x:c r="G738" s="29" t="str">
        <x:v>script</x:v>
      </x:c>
      <x:c r="H738" s="29" t="str">
        <x:v>Draft — owner review</x:v>
      </x:c>
    </x:row>
    <x:row r="739" ht="84" customHeight="1">
      <x:c r="A739" s="29" t="str">
        <x:v>BTB-123</x:v>
      </x:c>
      <x:c r="B739" s="62" t="n">
        <x:v>46445</x:v>
      </x:c>
      <x:c r="C739" s="64" t="str">
        <x:v>P3</x:v>
      </x:c>
      <x:c r="D739" s="64" t="n">
        <x:v>6</x:v>
      </x:c>
      <x:c r="E739" s="29" t="str">
        <x:v>Save this structure: what needs deciding, why it matters, and when a response is actually needed.</x:v>
      </x:c>
      <x:c r="F739" s="29" t="str">
        <x:v>Slide 6 of 6. Save this structure: what needs deciding, why it matters, and when a response is actually needed.</x:v>
      </x:c>
      <x:c r="G739" s="29" t="str">
        <x:v>script</x:v>
      </x:c>
      <x:c r="H739" s="29" t="str">
        <x:v>Draft — owner review</x:v>
      </x:c>
    </x:row>
    <x:row r="740" ht="84" customHeight="1">
      <x:c r="A740" s="29" t="str">
        <x:v>BTB-124</x:v>
      </x:c>
      <x:c r="B740" s="62" t="n">
        <x:v>46446</x:v>
      </x:c>
      <x:c r="C740" s="64" t="str">
        <x:v>P4</x:v>
      </x:c>
      <x:c r="D740" s="64" t="n">
        <x:v>1</x:v>
      </x:c>
      <x:c r="E740" s="29" t="str">
        <x:v>You can accept an apology without pretending the issue is finished.</x:v>
      </x:c>
      <x:c r="F740" s="29" t="str">
        <x:v>Slide 1 of 6. You can accept an apology without pretending the issue is finished.</x:v>
      </x:c>
      <x:c r="G740" s="29" t="str">
        <x:v>contrast</x:v>
      </x:c>
      <x:c r="H740" s="29" t="str">
        <x:v>Draft — owner review</x:v>
      </x:c>
    </x:row>
    <x:row r="741" ht="84" customHeight="1">
      <x:c r="A741" s="29" t="str">
        <x:v>BTB-124</x:v>
      </x:c>
      <x:c r="B741" s="62" t="n">
        <x:v>46446</x:v>
      </x:c>
      <x:c r="C741" s="64" t="str">
        <x:v>P4</x:v>
      </x:c>
      <x:c r="D741" s="64" t="n">
        <x:v>2</x:v>
      </x:c>
      <x:c r="E741" s="29" t="str">
        <x:v>“Thank you for acknowledging it” can be true while “I need more time” is also true.</x:v>
      </x:c>
      <x:c r="F741" s="29" t="str">
        <x:v>Slide 2 of 6. “Thank you for acknowledging it” can be true while “I need more time” is also true.</x:v>
      </x:c>
      <x:c r="G741" s="29" t="str">
        <x:v>contrast</x:v>
      </x:c>
      <x:c r="H741" s="29" t="str">
        <x:v>Draft — owner review</x:v>
      </x:c>
    </x:row>
    <x:row r="742" ht="84" customHeight="1">
      <x:c r="A742" s="29" t="str">
        <x:v>BTB-124</x:v>
      </x:c>
      <x:c r="B742" s="62" t="n">
        <x:v>46446</x:v>
      </x:c>
      <x:c r="C742" s="64" t="str">
        <x:v>P4</x:v>
      </x:c>
      <x:c r="D742" s="64" t="n">
        <x:v>3</x:v>
      </x:c>
      <x:c r="E742" s="29" t="str">
        <x:v>Be specific about what remains: a practical repair, a clearer agreement, or space to consider what you need.</x:v>
      </x:c>
      <x:c r="F742" s="29" t="str">
        <x:v>Slide 3 of 6. Be specific about what remains: a practical repair, a clearer agreement, or space to consider what you need.</x:v>
      </x:c>
      <x:c r="G742" s="29" t="str">
        <x:v>contrast</x:v>
      </x:c>
      <x:c r="H742" s="29" t="str">
        <x:v>Draft — owner review</x:v>
      </x:c>
    </x:row>
    <x:row r="743" ht="84" customHeight="1">
      <x:c r="A743" s="29" t="str">
        <x:v>BTB-124</x:v>
      </x:c>
      <x:c r="B743" s="62" t="n">
        <x:v>46446</x:v>
      </x:c>
      <x:c r="C743" s="64" t="str">
        <x:v>P4</x:v>
      </x:c>
      <x:c r="D743" s="64" t="n">
        <x:v>4</x:v>
      </x:c>
      <x:c r="E743" s="29" t="str">
        <x:v>Do not promise immediate reassurance simply to end an uncomfortable conversation.</x:v>
      </x:c>
      <x:c r="F743" s="29" t="str">
        <x:v>Slide 4 of 6. Do not promise immediate reassurance simply to end an uncomfortable conversation.</x:v>
      </x:c>
      <x:c r="G743" s="29" t="str">
        <x:v>contrast</x:v>
      </x:c>
      <x:c r="H743" s="29" t="str">
        <x:v>Draft — owner review</x:v>
      </x:c>
    </x:row>
    <x:row r="744" ht="84" customHeight="1">
      <x:c r="A744" s="29" t="str">
        <x:v>BTB-124</x:v>
      </x:c>
      <x:c r="B744" s="62" t="n">
        <x:v>46446</x:v>
      </x:c>
      <x:c r="C744" s="64" t="str">
        <x:v>P4</x:v>
      </x:c>
      <x:c r="D744" s="64" t="n">
        <x:v>5</x:v>
      </x:c>
      <x:c r="E744" s="29" t="str">
        <x:v>Respect goes both ways: you can name your needs without using the apology to demand unlimited punishment or control.</x:v>
      </x:c>
      <x:c r="F744" s="29" t="str">
        <x:v>Slide 5 of 6. Respect goes both ways: you can name your needs without using the apology to demand unlimited punishment or control.</x:v>
      </x:c>
      <x:c r="G744" s="29" t="str">
        <x:v>contrast</x:v>
      </x:c>
      <x:c r="H744" s="29" t="str">
        <x:v>Draft — owner review</x:v>
      </x:c>
    </x:row>
    <x:row r="745" ht="84" customHeight="1">
      <x:c r="A745" s="29" t="str">
        <x:v>BTB-124</x:v>
      </x:c>
      <x:c r="B745" s="62" t="n">
        <x:v>46446</x:v>
      </x:c>
      <x:c r="C745" s="64" t="str">
        <x:v>P4</x:v>
      </x:c>
      <x:c r="D745" s="64" t="n">
        <x:v>6</x:v>
      </x:c>
      <x:c r="E745" s="29" t="str">
        <x:v>Share this with someone trying to make room for repair without rushing themselves.</x:v>
      </x:c>
      <x:c r="F745" s="29" t="str">
        <x:v>Slide 6 of 6. Share this with someone trying to make room for repair without rushing themselves.</x:v>
      </x:c>
      <x:c r="G745" s="29" t="str">
        <x:v>contrast</x:v>
      </x:c>
      <x:c r="H745" s="29" t="str">
        <x:v>Draft — owner review</x:v>
      </x:c>
    </x:row>
    <x:row r="746" ht="84" customHeight="1">
      <x:c r="A746" s="29" t="str">
        <x:v>BTB-125</x:v>
      </x:c>
      <x:c r="B746" s="62" t="n">
        <x:v>46447</x:v>
      </x:c>
      <x:c r="C746" s="64" t="str">
        <x:v>P5</x:v>
      </x:c>
      <x:c r="D746" s="64" t="n">
        <x:v>1</x:v>
      </x:c>
      <x:c r="E746" s="29" t="str">
        <x:v>Write down the cost of staying undecided.</x:v>
      </x:c>
      <x:c r="F746" s="29" t="str">
        <x:v>Slide 1 of 6. Write down the cost of staying undecided.</x:v>
      </x:c>
      <x:c r="G746" s="29" t="str">
        <x:v>checklist</x:v>
      </x:c>
      <x:c r="H746" s="29" t="str">
        <x:v>Draft — owner review</x:v>
      </x:c>
    </x:row>
    <x:row r="747" ht="84" customHeight="1">
      <x:c r="A747" s="29" t="str">
        <x:v>BTB-125</x:v>
      </x:c>
      <x:c r="B747" s="62" t="n">
        <x:v>46447</x:v>
      </x:c>
      <x:c r="C747" s="64" t="str">
        <x:v>P5</x:v>
      </x:c>
      <x:c r="D747" s="64" t="n">
        <x:v>2</x:v>
      </x:c>
      <x:c r="E747" s="29" t="str">
        <x:v>Some decisions need more information. Others remain open because making any choice feels uncomfortable.</x:v>
      </x:c>
      <x:c r="F747" s="29" t="str">
        <x:v>Slide 2 of 6. Some decisions need more information. Others remain open because making any choice feels uncomfortable.</x:v>
      </x:c>
      <x:c r="G747" s="29" t="str">
        <x:v>checklist</x:v>
      </x:c>
      <x:c r="H747" s="29" t="str">
        <x:v>Draft — owner review</x:v>
      </x:c>
    </x:row>
    <x:row r="748" ht="84" customHeight="1">
      <x:c r="A748" s="29" t="str">
        <x:v>BTB-125</x:v>
      </x:c>
      <x:c r="B748" s="62" t="n">
        <x:v>46447</x:v>
      </x:c>
      <x:c r="C748" s="64" t="str">
        <x:v>P5</x:v>
      </x:c>
      <x:c r="D748" s="64" t="n">
        <x:v>3</x:v>
      </x:c>
      <x:c r="E748" s="29" t="str">
        <x:v>List what information is missing, who can provide it, and whether a real deadline exists.</x:v>
      </x:c>
      <x:c r="F748" s="29" t="str">
        <x:v>Slide 3 of 6. List what information is missing, who can provide it, and whether a real deadline exists.</x:v>
      </x:c>
      <x:c r="G748" s="29" t="str">
        <x:v>checklist</x:v>
      </x:c>
      <x:c r="H748" s="29" t="str">
        <x:v>Draft — owner review</x:v>
      </x:c>
    </x:row>
    <x:row r="749" ht="84" customHeight="1">
      <x:c r="A749" s="29" t="str">
        <x:v>BTB-125</x:v>
      </x:c>
      <x:c r="B749" s="62" t="n">
        <x:v>46447</x:v>
      </x:c>
      <x:c r="C749" s="64" t="str">
        <x:v>P5</x:v>
      </x:c>
      <x:c r="D749" s="64" t="n">
        <x:v>4</x:v>
      </x:c>
      <x:c r="E749" s="29" t="str">
        <x:v>Add what happens if you wait. Keep facts separate from the worst outcome you can imagine.</x:v>
      </x:c>
      <x:c r="F749" s="29" t="str">
        <x:v>Slide 4 of 6. Add what happens if you wait. Keep facts separate from the worst outcome you can imagine.</x:v>
      </x:c>
      <x:c r="G749" s="29" t="str">
        <x:v>checklist</x:v>
      </x:c>
      <x:c r="H749" s="29" t="str">
        <x:v>Draft — owner review</x:v>
      </x:c>
    </x:row>
    <x:row r="750" ht="84" customHeight="1">
      <x:c r="A750" s="29" t="str">
        <x:v>BTB-125</x:v>
      </x:c>
      <x:c r="B750" s="62" t="n">
        <x:v>46447</x:v>
      </x:c>
      <x:c r="C750" s="64" t="str">
        <x:v>P5</x:v>
      </x:c>
      <x:c r="D750" s="64" t="n">
        <x:v>5</x:v>
      </x:c>
      <x:c r="E750" s="29" t="str">
        <x:v>Seek qualified advice for high-stakes decisions. Choose a review point rather than leaving the question permanently open.</x:v>
      </x:c>
      <x:c r="F750" s="29" t="str">
        <x:v>Slide 5 of 6. Seek qualified advice for high-stakes decisions. Choose a review point rather than leaving the question permanently open.</x:v>
      </x:c>
      <x:c r="G750" s="29" t="str">
        <x:v>checklist</x:v>
      </x:c>
      <x:c r="H750" s="29" t="str">
        <x:v>Draft — owner review</x:v>
      </x:c>
    </x:row>
    <x:row r="751" ht="84" customHeight="1">
      <x:c r="A751" s="29" t="str">
        <x:v>BTB-125</x:v>
      </x:c>
      <x:c r="B751" s="62" t="n">
        <x:v>46447</x:v>
      </x:c>
      <x:c r="C751" s="64" t="str">
        <x:v>P5</x:v>
      </x:c>
      <x:c r="D751" s="64" t="n">
        <x:v>6</x:v>
      </x:c>
      <x:c r="E751" s="29" t="str">
        <x:v>Save this for a decision that needs a process, not another night of circling.</x:v>
      </x:c>
      <x:c r="F751" s="29" t="str">
        <x:v>Slide 6 of 6. Save this for a decision that needs a process, not another night of circling.</x:v>
      </x:c>
      <x:c r="G751" s="29" t="str">
        <x:v>checklist</x:v>
      </x:c>
      <x:c r="H751" s="29" t="str">
        <x:v>Draft — owner review</x:v>
      </x:c>
    </x:row>
    <x:row r="752" ht="84" customHeight="1">
      <x:c r="A752" s="29" t="str">
        <x:v>BTB-126</x:v>
      </x:c>
      <x:c r="B752" s="62" t="n">
        <x:v>46448</x:v>
      </x:c>
      <x:c r="C752" s="64" t="str">
        <x:v>P1</x:v>
      </x:c>
      <x:c r="D752" s="64" t="n">
        <x:v>1</x:v>
      </x:c>
      <x:c r="E752" s="29" t="str">
        <x:v>Your next chapter does not need a relationship to count as a life.</x:v>
      </x:c>
      <x:c r="F752" s="29" t="str">
        <x:v>Slide 1 of 6. Your next chapter does not need a relationship to count as a life.</x:v>
      </x:c>
      <x:c r="G752" s="29" t="str">
        <x:v>editorial</x:v>
      </x:c>
      <x:c r="H752" s="29" t="str">
        <x:v>Draft — owner review</x:v>
      </x:c>
    </x:row>
    <x:row r="753" ht="84" customHeight="1">
      <x:c r="A753" s="29" t="str">
        <x:v>BTB-126</x:v>
      </x:c>
      <x:c r="B753" s="62" t="n">
        <x:v>46448</x:v>
      </x:c>
      <x:c r="C753" s="64" t="str">
        <x:v>P1</x:v>
      </x:c>
      <x:c r="D753" s="64" t="n">
        <x:v>2</x:v>
      </x:c>
      <x:c r="E753" s="29" t="str">
        <x:v>Companionship may matter deeply to you. It does not have to be the condition for every other part of life to begin.</x:v>
      </x:c>
      <x:c r="F753" s="29" t="str">
        <x:v>Slide 2 of 6. Companionship may matter deeply to you. It does not have to be the condition for every other part of life to begin.</x:v>
      </x:c>
      <x:c r="G753" s="29" t="str">
        <x:v>editorial</x:v>
      </x:c>
      <x:c r="H753" s="29" t="str">
        <x:v>Draft — owner review</x:v>
      </x:c>
    </x:row>
    <x:row r="754" ht="84" customHeight="1">
      <x:c r="A754" s="29" t="str">
        <x:v>BTB-126</x:v>
      </x:c>
      <x:c r="B754" s="62" t="n">
        <x:v>46448</x:v>
      </x:c>
      <x:c r="C754" s="64" t="str">
        <x:v>P1</x:v>
      </x:c>
      <x:c r="D754" s="64" t="n">
        <x:v>3</x:v>
      </x:c>
      <x:c r="E754" s="29" t="str">
        <x:v>What would you like your ordinary week to contain, whether you are partnered or not?</x:v>
      </x:c>
      <x:c r="F754" s="29" t="str">
        <x:v>Slide 3 of 6. What would you like your ordinary week to contain, whether you are partnered or not?</x:v>
      </x:c>
      <x:c r="G754" s="29" t="str">
        <x:v>editorial</x:v>
      </x:c>
      <x:c r="H754" s="29" t="str">
        <x:v>Draft — owner review</x:v>
      </x:c>
    </x:row>
    <x:row r="755" ht="84" customHeight="1">
      <x:c r="A755" s="29" t="str">
        <x:v>BTB-126</x:v>
      </x:c>
      <x:c r="B755" s="62" t="n">
        <x:v>46448</x:v>
      </x:c>
      <x:c r="C755" s="64" t="str">
        <x:v>P1</x:v>
      </x:c>
      <x:c r="D755" s="64" t="n">
        <x:v>4</x:v>
      </x:c>
      <x:c r="E755" s="29" t="str">
        <x:v>Consider friendship, meaningful work, interests, home, and time that is yours.</x:v>
      </x:c>
      <x:c r="F755" s="29" t="str">
        <x:v>Slide 4 of 6. Consider friendship, meaningful work, interests, home, and time that is yours.</x:v>
      </x:c>
      <x:c r="G755" s="29" t="str">
        <x:v>editorial</x:v>
      </x:c>
      <x:c r="H755" s="29" t="str">
        <x:v>Draft — owner review</x:v>
      </x:c>
    </x:row>
    <x:row r="756" ht="84" customHeight="1">
      <x:c r="A756" s="29" t="str">
        <x:v>BTB-126</x:v>
      </x:c>
      <x:c r="B756" s="62" t="n">
        <x:v>46448</x:v>
      </x:c>
      <x:c r="C756" s="64" t="str">
        <x:v>P1</x:v>
      </x:c>
      <x:c r="D756" s="64" t="n">
        <x:v>5</x:v>
      </x:c>
      <x:c r="E756" s="29" t="str">
        <x:v>Choose one area to build without making it a test of whether you have stopped wanting love.</x:v>
      </x:c>
      <x:c r="F756" s="29" t="str">
        <x:v>Slide 5 of 6. Choose one area to build without making it a test of whether you have stopped wanting love.</x:v>
      </x:c>
      <x:c r="G756" s="29" t="str">
        <x:v>editorial</x:v>
      </x:c>
      <x:c r="H756" s="29" t="str">
        <x:v>Draft — owner review</x:v>
      </x:c>
    </x:row>
    <x:row r="757" ht="84" customHeight="1">
      <x:c r="A757" s="29" t="str">
        <x:v>BTB-126</x:v>
      </x:c>
      <x:c r="B757" s="62" t="n">
        <x:v>46448</x:v>
      </x:c>
      <x:c r="C757" s="64" t="str">
        <x:v>P1</x:v>
      </x:c>
      <x:c r="D757" s="64" t="n">
        <x:v>6</x:v>
      </x:c>
      <x:c r="E757" s="29" t="str">
        <x:v>Send this to someone waiting to feel chosen before choosing anything for themselves.</x:v>
      </x:c>
      <x:c r="F757" s="29" t="str">
        <x:v>Slide 6 of 6. Send this to someone waiting to feel chosen before choosing anything for themselves.</x:v>
      </x:c>
      <x:c r="G757" s="29" t="str">
        <x:v>editorial</x:v>
      </x:c>
      <x:c r="H757" s="29" t="str">
        <x:v>Draft — owner review</x:v>
      </x:c>
    </x:row>
    <x:row r="758" ht="84" customHeight="1">
      <x:c r="A758" s="29" t="str">
        <x:v>BTB-127</x:v>
      </x:c>
      <x:c r="B758" s="62" t="n">
        <x:v>46449</x:v>
      </x:c>
      <x:c r="C758" s="64" t="str">
        <x:v>P2</x:v>
      </x:c>
      <x:c r="D758" s="64" t="n">
        <x:v>1</x:v>
      </x:c>
      <x:c r="E758" s="29" t="str">
        <x:v>A support conversation can include something besides the crisis.</x:v>
      </x:c>
      <x:c r="F758" s="29" t="str">
        <x:v>Slide 1 of 6. A support conversation can include something besides the crisis.</x:v>
      </x:c>
      <x:c r="G758" s="29" t="str">
        <x:v>script</x:v>
      </x:c>
      <x:c r="H758" s="29" t="str">
        <x:v>Draft — owner review</x:v>
      </x:c>
    </x:row>
    <x:row r="759" ht="84" customHeight="1">
      <x:c r="A759" s="29" t="str">
        <x:v>BTB-127</x:v>
      </x:c>
      <x:c r="B759" s="62" t="n">
        <x:v>46449</x:v>
      </x:c>
      <x:c r="C759" s="64" t="str">
        <x:v>P2</x:v>
      </x:c>
      <x:c r="D759" s="64" t="n">
        <x:v>2</x:v>
      </x:c>
      <x:c r="E759" s="29" t="str">
        <x:v>You may need to discuss the difficult situation. You may also miss being known for anything else.</x:v>
      </x:c>
      <x:c r="F759" s="29" t="str">
        <x:v>Slide 2 of 6. You may need to discuss the difficult situation. You may also miss being known for anything else.</x:v>
      </x:c>
      <x:c r="G759" s="29" t="str">
        <x:v>script</x:v>
      </x:c>
      <x:c r="H759" s="29" t="str">
        <x:v>Draft — owner review</x:v>
      </x:c>
    </x:row>
    <x:row r="760" ht="84" customHeight="1">
      <x:c r="A760" s="29" t="str">
        <x:v>BTB-127</x:v>
      </x:c>
      <x:c r="B760" s="62" t="n">
        <x:v>46449</x:v>
      </x:c>
      <x:c r="C760" s="64" t="str">
        <x:v>P2</x:v>
      </x:c>
      <x:c r="D760" s="64" t="n">
        <x:v>3</x:v>
      </x:c>
      <x:c r="E760" s="29" t="str">
        <x:v>Try: “Could we talk about this for a little while, then do something ordinary together?”</x:v>
      </x:c>
      <x:c r="F760" s="29" t="str">
        <x:v>Slide 3 of 6. Try: “Could we talk about this for a little while, then do something ordinary together?”</x:v>
      </x:c>
      <x:c r="G760" s="29" t="str">
        <x:v>script</x:v>
      </x:c>
      <x:c r="H760" s="29" t="str">
        <x:v>Draft — owner review</x:v>
      </x:c>
    </x:row>
    <x:row r="761" ht="84" customHeight="1">
      <x:c r="A761" s="29" t="str">
        <x:v>BTB-127</x:v>
      </x:c>
      <x:c r="B761" s="62" t="n">
        <x:v>46449</x:v>
      </x:c>
      <x:c r="C761" s="64" t="str">
        <x:v>P2</x:v>
      </x:c>
      <x:c r="D761" s="64" t="n">
        <x:v>4</x:v>
      </x:c>
      <x:c r="E761" s="29" t="str">
        <x:v>Agree on what works for both people. Do not treat a friend's limits as proof they do not care.</x:v>
      </x:c>
      <x:c r="F761" s="29" t="str">
        <x:v>Slide 4 of 6. Agree on what works for both people. Do not treat a friend's limits as proof they do not care.</x:v>
      </x:c>
      <x:c r="G761" s="29" t="str">
        <x:v>script</x:v>
      </x:c>
      <x:c r="H761" s="29" t="str">
        <x:v>Draft — owner review</x:v>
      </x:c>
    </x:row>
    <x:row r="762" ht="84" customHeight="1">
      <x:c r="A762" s="29" t="str">
        <x:v>BTB-127</x:v>
      </x:c>
      <x:c r="B762" s="62" t="n">
        <x:v>46449</x:v>
      </x:c>
      <x:c r="C762" s="64" t="str">
        <x:v>P2</x:v>
      </x:c>
      <x:c r="D762" s="64" t="n">
        <x:v>5</x:v>
      </x:c>
      <x:c r="E762" s="29" t="str">
        <x:v>Use professional support for needs that friendship alone cannot reasonably meet.</x:v>
      </x:c>
      <x:c r="F762" s="29" t="str">
        <x:v>Slide 5 of 6. Use professional support for needs that friendship alone cannot reasonably meet.</x:v>
      </x:c>
      <x:c r="G762" s="29" t="str">
        <x:v>script</x:v>
      </x:c>
      <x:c r="H762" s="29" t="str">
        <x:v>Draft — owner review</x:v>
      </x:c>
    </x:row>
    <x:row r="763" ht="84" customHeight="1">
      <x:c r="A763" s="29" t="str">
        <x:v>BTB-127</x:v>
      </x:c>
      <x:c r="B763" s="62" t="n">
        <x:v>46449</x:v>
      </x:c>
      <x:c r="C763" s="64" t="str">
        <x:v>P2</x:v>
      </x:c>
      <x:c r="D763" s="64" t="n">
        <x:v>6</x:v>
      </x:c>
      <x:c r="E763" s="29" t="str">
        <x:v>Save the invitation for a day when you need support and a reminder of the rest of your life.</x:v>
      </x:c>
      <x:c r="F763" s="29" t="str">
        <x:v>Slide 6 of 6. Save the invitation for a day when you need support and a reminder of the rest of your life.</x:v>
      </x:c>
      <x:c r="G763" s="29" t="str">
        <x:v>script</x:v>
      </x:c>
      <x:c r="H763" s="29" t="str">
        <x:v>Draft — owner review</x:v>
      </x:c>
    </x:row>
    <x:row r="764" ht="84" customHeight="1">
      <x:c r="A764" s="29" t="str">
        <x:v>BTB-128</x:v>
      </x:c>
      <x:c r="B764" s="62" t="n">
        <x:v>46450</x:v>
      </x:c>
      <x:c r="C764" s="64" t="str">
        <x:v>P5</x:v>
      </x:c>
      <x:c r="D764" s="64" t="n">
        <x:v>1</x:v>
      </x:c>
      <x:c r="E764" s="29" t="str">
        <x:v>Keep evidence of your skills somewhere you can find it.</x:v>
      </x:c>
      <x:c r="F764" s="29" t="str">
        <x:v>Slide 1 of 6. Keep evidence of your skills somewhere you can find it.</x:v>
      </x:c>
      <x:c r="G764" s="29" t="str">
        <x:v>checklist</x:v>
      </x:c>
      <x:c r="H764" s="29" t="str">
        <x:v>Draft — owner review</x:v>
      </x:c>
    </x:row>
    <x:row r="765" ht="84" customHeight="1">
      <x:c r="A765" s="29" t="str">
        <x:v>BTB-128</x:v>
      </x:c>
      <x:c r="B765" s="62" t="n">
        <x:v>46450</x:v>
      </x:c>
      <x:c r="C765" s="64" t="str">
        <x:v>P5</x:v>
      </x:c>
      <x:c r="D765" s="64" t="n">
        <x:v>2</x:v>
      </x:c>
      <x:c r="E765" s="29" t="str">
        <x:v>A setback can make it difficult to recall what you have actually contributed at work or in a project.</x:v>
      </x:c>
      <x:c r="F765" s="29" t="str">
        <x:v>Slide 2 of 6. A setback can make it difficult to recall what you have actually contributed at work or in a project.</x:v>
      </x:c>
      <x:c r="G765" s="29" t="str">
        <x:v>checklist</x:v>
      </x:c>
      <x:c r="H765" s="29" t="str">
        <x:v>Draft — owner review</x:v>
      </x:c>
    </x:row>
    <x:row r="766" ht="84" customHeight="1">
      <x:c r="A766" s="29" t="str">
        <x:v>BTB-128</x:v>
      </x:c>
      <x:c r="B766" s="62" t="n">
        <x:v>46450</x:v>
      </x:c>
      <x:c r="C766" s="64" t="str">
        <x:v>P5</x:v>
      </x:c>
      <x:c r="D766" s="64" t="n">
        <x:v>3</x:v>
      </x:c>
      <x:c r="E766" s="29" t="str">
        <x:v>Create a private list of tasks completed, problems solved, feedback received, and skills used.</x:v>
      </x:c>
      <x:c r="F766" s="29" t="str">
        <x:v>Slide 3 of 6. Create a private list of tasks completed, problems solved, feedback received, and skills used.</x:v>
      </x:c>
      <x:c r="G766" s="29" t="str">
        <x:v>checklist</x:v>
      </x:c>
      <x:c r="H766" s="29" t="str">
        <x:v>Draft — owner review</x:v>
      </x:c>
    </x:row>
    <x:row r="767" ht="84" customHeight="1">
      <x:c r="A767" s="29" t="str">
        <x:v>BTB-128</x:v>
      </x:c>
      <x:c r="B767" s="62" t="n">
        <x:v>46450</x:v>
      </x:c>
      <x:c r="C767" s="64" t="str">
        <x:v>P5</x:v>
      </x:c>
      <x:c r="D767" s="64" t="n">
        <x:v>4</x:v>
      </x:c>
      <x:c r="E767" s="29" t="str">
        <x:v>Include only information you are permitted to retain. Protect employer, client, and personal confidentiality.</x:v>
      </x:c>
      <x:c r="F767" s="29" t="str">
        <x:v>Slide 4 of 6. Include only information you are permitted to retain. Protect employer, client, and personal confidentiality.</x:v>
      </x:c>
      <x:c r="G767" s="29" t="str">
        <x:v>checklist</x:v>
      </x:c>
      <x:c r="H767" s="29" t="str">
        <x:v>Draft — owner review</x:v>
      </x:c>
    </x:row>
    <x:row r="768" ht="84" customHeight="1">
      <x:c r="A768" s="29" t="str">
        <x:v>BTB-128</x:v>
      </x:c>
      <x:c r="B768" s="62" t="n">
        <x:v>46450</x:v>
      </x:c>
      <x:c r="C768" s="64" t="str">
        <x:v>P5</x:v>
      </x:c>
      <x:c r="D768" s="64" t="n">
        <x:v>5</x:v>
      </x:c>
      <x:c r="E768" s="29" t="str">
        <x:v>Use accurate examples for applications and planning. Do not turn the list into inflated claims or confidential public content.</x:v>
      </x:c>
      <x:c r="F768" s="29" t="str">
        <x:v>Slide 5 of 6. Use accurate examples for applications and planning. Do not turn the list into inflated claims or confidential public content.</x:v>
      </x:c>
      <x:c r="G768" s="29" t="str">
        <x:v>checklist</x:v>
      </x:c>
      <x:c r="H768" s="29" t="str">
        <x:v>Draft — owner review</x:v>
      </x:c>
    </x:row>
    <x:row r="769" ht="84" customHeight="1">
      <x:c r="A769" s="29" t="str">
        <x:v>BTB-128</x:v>
      </x:c>
      <x:c r="B769" s="62" t="n">
        <x:v>46450</x:v>
      </x:c>
      <x:c r="C769" s="64" t="str">
        <x:v>P5</x:v>
      </x:c>
      <x:c r="D769" s="64" t="n">
        <x:v>6</x:v>
      </x:c>
      <x:c r="E769" s="29" t="str">
        <x:v>Save this for the career conversation where you need evidence instead of either doubt or exaggeration.</x:v>
      </x:c>
      <x:c r="F769" s="29" t="str">
        <x:v>Slide 6 of 6. Save this for the career conversation where you need evidence instead of either doubt or exaggeration.</x:v>
      </x:c>
      <x:c r="G769" s="29" t="str">
        <x:v>checklist</x:v>
      </x:c>
      <x:c r="H769" s="29" t="str">
        <x:v>Draft — owner review</x:v>
      </x:c>
    </x:row>
    <x:row r="770" ht="84" customHeight="1">
      <x:c r="A770" s="29" t="str">
        <x:v>BTB-129</x:v>
      </x:c>
      <x:c r="B770" s="62" t="n">
        <x:v>46451</x:v>
      </x:c>
      <x:c r="C770" s="64" t="str">
        <x:v>P3</x:v>
      </x:c>
      <x:c r="D770" s="64" t="n">
        <x:v>1</x:v>
      </x:c>
      <x:c r="E770" s="29" t="str">
        <x:v>A familiar routine does not need a perfect day around it.</x:v>
      </x:c>
      <x:c r="F770" s="29" t="str">
        <x:v>Slide 1 of 6. A familiar routine does not need a perfect day around it.</x:v>
      </x:c>
      <x:c r="G770" s="29" t="str">
        <x:v>checklist</x:v>
      </x:c>
      <x:c r="H770" s="29" t="str">
        <x:v>Draft — owner review</x:v>
      </x:c>
    </x:row>
    <x:row r="771" ht="84" customHeight="1">
      <x:c r="A771" s="29" t="str">
        <x:v>BTB-129</x:v>
      </x:c>
      <x:c r="B771" s="62" t="n">
        <x:v>46451</x:v>
      </x:c>
      <x:c r="C771" s="64" t="str">
        <x:v>P3</x:v>
      </x:c>
      <x:c r="D771" s="64" t="n">
        <x:v>2</x:v>
      </x:c>
      <x:c r="E771" s="29" t="str">
        <x:v>Work, travel, and changed plans can make a parenting day different from the one you imagined.</x:v>
      </x:c>
      <x:c r="F771" s="29" t="str">
        <x:v>Slide 2 of 6. Work, travel, and changed plans can make a parenting day different from the one you imagined.</x:v>
      </x:c>
      <x:c r="G771" s="29" t="str">
        <x:v>checklist</x:v>
      </x:c>
      <x:c r="H771" s="29" t="str">
        <x:v>Draft — owner review</x:v>
      </x:c>
    </x:row>
    <x:row r="772" ht="84" customHeight="1">
      <x:c r="A772" s="29" t="str">
        <x:v>BTB-129</x:v>
      </x:c>
      <x:c r="B772" s="62" t="n">
        <x:v>46451</x:v>
      </x:c>
      <x:c r="C772" s="64" t="str">
        <x:v>P3</x:v>
      </x:c>
      <x:c r="D772" s="64" t="n">
        <x:v>3</x:v>
      </x:c>
      <x:c r="E772" s="29" t="str">
        <x:v>Identify one simple routine you can reasonably maintain: preparing for school, reading together, or checking tomorrow's essentials.</x:v>
      </x:c>
      <x:c r="F772" s="29" t="str">
        <x:v>Slide 3 of 6. Identify one simple routine you can reasonably maintain: preparing for school, reading together, or checking tomorrow's essentials.</x:v>
      </x:c>
      <x:c r="G772" s="29" t="str">
        <x:v>checklist</x:v>
      </x:c>
      <x:c r="H772" s="29" t="str">
        <x:v>Draft — owner review</x:v>
      </x:c>
    </x:row>
    <x:row r="773" ht="84" customHeight="1">
      <x:c r="A773" s="29" t="str">
        <x:v>BTB-129</x:v>
      </x:c>
      <x:c r="B773" s="62" t="n">
        <x:v>46451</x:v>
      </x:c>
      <x:c r="C773" s="64" t="str">
        <x:v>P3</x:v>
      </x:c>
      <x:c r="D773" s="64" t="n">
        <x:v>4</x:v>
      </x:c>
      <x:c r="E773" s="29" t="str">
        <x:v>Adapt to the child's needs and the actual day. The routine should serve the child, not become another test.</x:v>
      </x:c>
      <x:c r="F773" s="29" t="str">
        <x:v>Slide 4 of 6. Adapt to the child's needs and the actual day. The routine should serve the child, not become another test.</x:v>
      </x:c>
      <x:c r="G773" s="29" t="str">
        <x:v>checklist</x:v>
      </x:c>
      <x:c r="H773" s="29" t="str">
        <x:v>Draft — owner review</x:v>
      </x:c>
    </x:row>
    <x:row r="774" ht="84" customHeight="1">
      <x:c r="A774" s="29" t="str">
        <x:v>BTB-129</x:v>
      </x:c>
      <x:c r="B774" s="62" t="n">
        <x:v>46451</x:v>
      </x:c>
      <x:c r="C774" s="64" t="str">
        <x:v>P3</x:v>
      </x:c>
      <x:c r="D774" s="64" t="n">
        <x:v>5</x:v>
      </x:c>
      <x:c r="E774" s="29" t="str">
        <x:v>Coordinate where required and respect the arrangements that apply to your family.</x:v>
      </x:c>
      <x:c r="F774" s="29" t="str">
        <x:v>Slide 5 of 6. Coordinate where required and respect the arrangements that apply to your family.</x:v>
      </x:c>
      <x:c r="G774" s="29" t="str">
        <x:v>checklist</x:v>
      </x:c>
      <x:c r="H774" s="29" t="str">
        <x:v>Draft — owner review</x:v>
      </x:c>
    </x:row>
    <x:row r="775" ht="84" customHeight="1">
      <x:c r="A775" s="29" t="str">
        <x:v>BTB-129</x:v>
      </x:c>
      <x:c r="B775" s="62" t="n">
        <x:v>46451</x:v>
      </x:c>
      <x:c r="C775" s="64" t="str">
        <x:v>P3</x:v>
      </x:c>
      <x:c r="D775" s="64" t="n">
        <x:v>6</x:v>
      </x:c>
      <x:c r="E775" s="29" t="str">
        <x:v>Save this for a day when one familiar thing is more realistic than an ideal schedule.</x:v>
      </x:c>
      <x:c r="F775" s="29" t="str">
        <x:v>Slide 6 of 6. Save this for a day when one familiar thing is more realistic than an ideal schedule.</x:v>
      </x:c>
      <x:c r="G775" s="29" t="str">
        <x:v>checklist</x:v>
      </x:c>
      <x:c r="H775" s="29" t="str">
        <x:v>Draft — owner review</x:v>
      </x:c>
    </x:row>
    <x:row r="776" ht="84" customHeight="1">
      <x:c r="A776" s="29" t="str">
        <x:v>BTB-130</x:v>
      </x:c>
      <x:c r="B776" s="62" t="n">
        <x:v>46452</x:v>
      </x:c>
      <x:c r="C776" s="64" t="str">
        <x:v>P4</x:v>
      </x:c>
      <x:c r="D776" s="64" t="n">
        <x:v>1</x:v>
      </x:c>
      <x:c r="E776" s="29" t="str">
        <x:v>After the apology, agree on the next ordinary action.</x:v>
      </x:c>
      <x:c r="F776" s="29" t="str">
        <x:v>Slide 1 of 6. After the apology, agree on the next ordinary action.</x:v>
      </x:c>
      <x:c r="G776" s="29" t="str">
        <x:v>checklist</x:v>
      </x:c>
      <x:c r="H776" s="29" t="str">
        <x:v>Draft — owner review</x:v>
      </x:c>
    </x:row>
    <x:row r="777" ht="84" customHeight="1">
      <x:c r="A777" s="29" t="str">
        <x:v>BTB-130</x:v>
      </x:c>
      <x:c r="B777" s="62" t="n">
        <x:v>46452</x:v>
      </x:c>
      <x:c r="C777" s="64" t="str">
        <x:v>P4</x:v>
      </x:c>
      <x:c r="D777" s="64" t="n">
        <x:v>2</x:v>
      </x:c>
      <x:c r="E777" s="29" t="str">
        <x:v>A conversation can feel resolved while the practical issue remains exactly where it was.</x:v>
      </x:c>
      <x:c r="F777" s="29" t="str">
        <x:v>Slide 2 of 6. A conversation can feel resolved while the practical issue remains exactly where it was.</x:v>
      </x:c>
      <x:c r="G777" s="29" t="str">
        <x:v>checklist</x:v>
      </x:c>
      <x:c r="H777" s="29" t="str">
        <x:v>Draft — owner review</x:v>
      </x:c>
    </x:row>
    <x:row r="778" ht="84" customHeight="1">
      <x:c r="A778" s="29" t="str">
        <x:v>BTB-130</x:v>
      </x:c>
      <x:c r="B778" s="62" t="n">
        <x:v>46452</x:v>
      </x:c>
      <x:c r="C778" s="64" t="str">
        <x:v>P4</x:v>
      </x:c>
      <x:c r="D778" s="64" t="n">
        <x:v>3</x:v>
      </x:c>
      <x:c r="E778" s="29" t="str">
        <x:v>Ask what needs to happen next, who is responsible, and when you will check whether it happened.</x:v>
      </x:c>
      <x:c r="F778" s="29" t="str">
        <x:v>Slide 3 of 6. Ask what needs to happen next, who is responsible, and when you will check whether it happened.</x:v>
      </x:c>
      <x:c r="G778" s="29" t="str">
        <x:v>checklist</x:v>
      </x:c>
      <x:c r="H778" s="29" t="str">
        <x:v>Draft — owner review</x:v>
      </x:c>
    </x:row>
    <x:row r="779" ht="84" customHeight="1">
      <x:c r="A779" s="29" t="str">
        <x:v>BTB-130</x:v>
      </x:c>
      <x:c r="B779" s="62" t="n">
        <x:v>46452</x:v>
      </x:c>
      <x:c r="C779" s="64" t="str">
        <x:v>P4</x:v>
      </x:c>
      <x:c r="D779" s="64" t="n">
        <x:v>4</x:v>
      </x:c>
      <x:c r="E779" s="29" t="str">
        <x:v>Keep the agreement realistic and voluntary. Do not use a repair conversation to demand control over someone else's life.</x:v>
      </x:c>
      <x:c r="F779" s="29" t="str">
        <x:v>Slide 4 of 6. Keep the agreement realistic and voluntary. Do not use a repair conversation to demand control over someone else's life.</x:v>
      </x:c>
      <x:c r="G779" s="29" t="str">
        <x:v>checklist</x:v>
      </x:c>
      <x:c r="H779" s="29" t="str">
        <x:v>Draft — owner review</x:v>
      </x:c>
    </x:row>
    <x:row r="780" ht="84" customHeight="1">
      <x:c r="A780" s="29" t="str">
        <x:v>BTB-130</x:v>
      </x:c>
      <x:c r="B780" s="62" t="n">
        <x:v>46452</x:v>
      </x:c>
      <x:c r="C780" s="64" t="str">
        <x:v>P4</x:v>
      </x:c>
      <x:c r="D780" s="64" t="n">
        <x:v>5</x:v>
      </x:c>
      <x:c r="E780" s="29" t="str">
        <x:v>Where harm, intimidation, or repeated unsafe behaviour is involved, get specialist support rather than relying on an informal agreement.</x:v>
      </x:c>
      <x:c r="F780" s="29" t="str">
        <x:v>Slide 5 of 6. Where harm, intimidation, or repeated unsafe behaviour is involved, get specialist support rather than relying on an informal agreement.</x:v>
      </x:c>
      <x:c r="G780" s="29" t="str">
        <x:v>checklist</x:v>
      </x:c>
      <x:c r="H780" s="29" t="str">
        <x:v>Draft — owner review</x:v>
      </x:c>
    </x:row>
    <x:row r="781" ht="84" customHeight="1">
      <x:c r="A781" s="29" t="str">
        <x:v>BTB-130</x:v>
      </x:c>
      <x:c r="B781" s="62" t="n">
        <x:v>46452</x:v>
      </x:c>
      <x:c r="C781" s="64" t="str">
        <x:v>P4</x:v>
      </x:c>
      <x:c r="D781" s="64" t="n">
        <x:v>6</x:v>
      </x:c>
      <x:c r="E781" s="29" t="str">
        <x:v>Save this for a repair that needs a practical follow-through, not another emotional conclusion.</x:v>
      </x:c>
      <x:c r="F781" s="29" t="str">
        <x:v>Slide 6 of 6. Save this for a repair that needs a practical follow-through, not another emotional conclusion.</x:v>
      </x:c>
      <x:c r="G781" s="29" t="str">
        <x:v>checklist</x:v>
      </x:c>
      <x:c r="H781" s="29" t="str">
        <x:v>Draft — owner review</x:v>
      </x:c>
    </x:row>
    <x:row r="782" ht="84" customHeight="1">
      <x:c r="A782" s="29" t="str">
        <x:v>BTB-131</x:v>
      </x:c>
      <x:c r="B782" s="62" t="n">
        <x:v>46453</x:v>
      </x:c>
      <x:c r="C782" s="64" t="str">
        <x:v>P1</x:v>
      </x:c>
      <x:c r="D782" s="64" t="n">
        <x:v>1</x:v>
      </x:c>
      <x:c r="E782" s="29" t="str">
        <x:v>A steadier life may not feel like a dramatic comeback.</x:v>
      </x:c>
      <x:c r="F782" s="29" t="str">
        <x:v>Slide 1 of 6. A steadier life may not feel like a dramatic comeback.</x:v>
      </x:c>
      <x:c r="G782" s="29" t="str">
        <x:v>contrast</x:v>
      </x:c>
      <x:c r="H782" s="29" t="str">
        <x:v>Draft — owner review</x:v>
      </x:c>
    </x:row>
    <x:row r="783" ht="84" customHeight="1">
      <x:c r="A783" s="29" t="str">
        <x:v>BTB-131</x:v>
      </x:c>
      <x:c r="B783" s="62" t="n">
        <x:v>46453</x:v>
      </x:c>
      <x:c r="C783" s="64" t="str">
        <x:v>P1</x:v>
      </x:c>
      <x:c r="D783" s="64" t="n">
        <x:v>2</x:v>
      </x:c>
      <x:c r="E783" s="29" t="str">
        <x:v>It may be a week with fewer avoidable problems, a clearer plan, and more room to attend to ordinary things.</x:v>
      </x:c>
      <x:c r="F783" s="29" t="str">
        <x:v>Slide 2 of 6. It may be a week with fewer avoidable problems, a clearer plan, and more room to attend to ordinary things.</x:v>
      </x:c>
      <x:c r="G783" s="29" t="str">
        <x:v>contrast</x:v>
      </x:c>
      <x:c r="H783" s="29" t="str">
        <x:v>Draft — owner review</x:v>
      </x:c>
    </x:row>
    <x:row r="784" ht="84" customHeight="1">
      <x:c r="A784" s="29" t="str">
        <x:v>BTB-131</x:v>
      </x:c>
      <x:c r="B784" s="62" t="n">
        <x:v>46453</x:v>
      </x:c>
      <x:c r="C784" s="64" t="str">
        <x:v>P1</x:v>
      </x:c>
      <x:c r="D784" s="64" t="n">
        <x:v>3</x:v>
      </x:c>
      <x:c r="E784" s="29" t="str">
        <x:v>You do not have to dismiss that because it would make an unremarkable announcement.</x:v>
      </x:c>
      <x:c r="F784" s="29" t="str">
        <x:v>Slide 3 of 6. You do not have to dismiss that because it would make an unremarkable announcement.</x:v>
      </x:c>
      <x:c r="G784" s="29" t="str">
        <x:v>contrast</x:v>
      </x:c>
      <x:c r="H784" s="29" t="str">
        <x:v>Draft — owner review</x:v>
      </x:c>
    </x:row>
    <x:row r="785" ht="84" customHeight="1">
      <x:c r="A785" s="29" t="str">
        <x:v>BTB-131</x:v>
      </x:c>
      <x:c r="B785" s="62" t="n">
        <x:v>46453</x:v>
      </x:c>
      <x:c r="C785" s="64" t="str">
        <x:v>P1</x:v>
      </x:c>
      <x:c r="D785" s="64" t="n">
        <x:v>4</x:v>
      </x:c>
      <x:c r="E785" s="29" t="str">
        <x:v>Ask what has become more manageable and what still needs attention.</x:v>
      </x:c>
      <x:c r="F785" s="29" t="str">
        <x:v>Slide 4 of 6. Ask what has become more manageable and what still needs attention.</x:v>
      </x:c>
      <x:c r="G785" s="29" t="str">
        <x:v>contrast</x:v>
      </x:c>
      <x:c r="H785" s="29" t="str">
        <x:v>Draft — owner review</x:v>
      </x:c>
    </x:row>
    <x:row r="786" ht="84" customHeight="1">
      <x:c r="A786" s="29" t="str">
        <x:v>BTB-131</x:v>
      </x:c>
      <x:c r="B786" s="62" t="n">
        <x:v>46453</x:v>
      </x:c>
      <x:c r="C786" s="64" t="str">
        <x:v>P1</x:v>
      </x:c>
      <x:c r="D786" s="64" t="n">
        <x:v>5</x:v>
      </x:c>
      <x:c r="E786" s="29" t="str">
        <x:v>Let progress and unfinished work appear in the same honest account.</x:v>
      </x:c>
      <x:c r="F786" s="29" t="str">
        <x:v>Slide 5 of 6. Let progress and unfinished work appear in the same honest account.</x:v>
      </x:c>
      <x:c r="G786" s="29" t="str">
        <x:v>contrast</x:v>
      </x:c>
      <x:c r="H786" s="29" t="str">
        <x:v>Draft — owner review</x:v>
      </x:c>
    </x:row>
    <x:row r="787" ht="84" customHeight="1">
      <x:c r="A787" s="29" t="str">
        <x:v>BTB-131</x:v>
      </x:c>
      <x:c r="B787" s="62" t="n">
        <x:v>46453</x:v>
      </x:c>
      <x:c r="C787" s="64" t="str">
        <x:v>P1</x:v>
      </x:c>
      <x:c r="D787" s="64" t="n">
        <x:v>6</x:v>
      </x:c>
      <x:c r="E787" s="29" t="str">
        <x:v>Share this with someone who expected rebuilding to feel more cinematic than it does.</x:v>
      </x:c>
      <x:c r="F787" s="29" t="str">
        <x:v>Slide 6 of 6. Share this with someone who expected rebuilding to feel more cinematic than it does.</x:v>
      </x:c>
      <x:c r="G787" s="29" t="str">
        <x:v>contrast</x:v>
      </x:c>
      <x:c r="H787" s="29" t="str">
        <x:v>Draft — owner review</x:v>
      </x:c>
    </x:row>
    <x:row r="788" ht="84" customHeight="1">
      <x:c r="A788" s="29" t="str">
        <x:v>BTB-132</x:v>
      </x:c>
      <x:c r="B788" s="62" t="n">
        <x:v>46454</x:v>
      </x:c>
      <x:c r="C788" s="64" t="str">
        <x:v>P2</x:v>
      </x:c>
      <x:c r="D788" s="64" t="n">
        <x:v>1</x:v>
      </x:c>
      <x:c r="E788" s="29" t="str">
        <x:v>Someone else's new chapter is not a verdict on your pace.</x:v>
      </x:c>
      <x:c r="F788" s="29" t="str">
        <x:v>Slide 1 of 6. Someone else's new chapter is not a verdict on your pace.</x:v>
      </x:c>
      <x:c r="G788" s="29" t="str">
        <x:v>editorial</x:v>
      </x:c>
      <x:c r="H788" s="29" t="str">
        <x:v>Draft — owner review</x:v>
      </x:c>
    </x:row>
    <x:row r="789" ht="84" customHeight="1">
      <x:c r="A789" s="29" t="str">
        <x:v>BTB-132</x:v>
      </x:c>
      <x:c r="B789" s="62" t="n">
        <x:v>46454</x:v>
      </x:c>
      <x:c r="C789" s="64" t="str">
        <x:v>P2</x:v>
      </x:c>
      <x:c r="D789" s="64" t="n">
        <x:v>2</x:v>
      </x:c>
      <x:c r="E789" s="29" t="str">
        <x:v>News about a former partner can make your own life feel suddenly late, incomplete, or less convincing.</x:v>
      </x:c>
      <x:c r="F789" s="29" t="str">
        <x:v>Slide 2 of 6. News about a former partner can make your own life feel suddenly late, incomplete, or less convincing.</x:v>
      </x:c>
      <x:c r="G789" s="29" t="str">
        <x:v>editorial</x:v>
      </x:c>
      <x:c r="H789" s="29" t="str">
        <x:v>Draft — owner review</x:v>
      </x:c>
    </x:row>
    <x:row r="790" ht="84" customHeight="1">
      <x:c r="A790" s="29" t="str">
        <x:v>BTB-132</x:v>
      </x:c>
      <x:c r="B790" s="62" t="n">
        <x:v>46454</x:v>
      </x:c>
      <x:c r="C790" s="64" t="str">
        <x:v>P2</x:v>
      </x:c>
      <x:c r="D790" s="64" t="n">
        <x:v>3</x:v>
      </x:c>
      <x:c r="E790" s="29" t="str">
        <x:v>You still have incomplete information about their life, and they are not the measure of what your circumstances require.</x:v>
      </x:c>
      <x:c r="F790" s="29" t="str">
        <x:v>Slide 3 of 6. You still have incomplete information about their life, and they are not the measure of what your circumstances require.</x:v>
      </x:c>
      <x:c r="G790" s="29" t="str">
        <x:v>editorial</x:v>
      </x:c>
      <x:c r="H790" s="29" t="str">
        <x:v>Draft — owner review</x:v>
      </x:c>
    </x:row>
    <x:row r="791" ht="84" customHeight="1">
      <x:c r="A791" s="29" t="str">
        <x:v>BTB-132</x:v>
      </x:c>
      <x:c r="B791" s="62" t="n">
        <x:v>46454</x:v>
      </x:c>
      <x:c r="C791" s="64" t="str">
        <x:v>P2</x:v>
      </x:c>
      <x:c r="D791" s="64" t="n">
        <x:v>4</x:v>
      </x:c>
      <x:c r="E791" s="29" t="str">
        <x:v>Return to your own next decision. What needs care or attention regardless of what they are doing?</x:v>
      </x:c>
      <x:c r="F791" s="29" t="str">
        <x:v>Slide 4 of 6. Return to your own next decision. What needs care or attention regardless of what they are doing?</x:v>
      </x:c>
      <x:c r="G791" s="29" t="str">
        <x:v>editorial</x:v>
      </x:c>
      <x:c r="H791" s="29" t="str">
        <x:v>Draft — owner review</x:v>
      </x:c>
    </x:row>
    <x:row r="792" ht="84" customHeight="1">
      <x:c r="A792" s="29" t="str">
        <x:v>BTB-132</x:v>
      </x:c>
      <x:c r="B792" s="62" t="n">
        <x:v>46454</x:v>
      </x:c>
      <x:c r="C792" s="64" t="str">
        <x:v>P2</x:v>
      </x:c>
      <x:c r="D792" s="64" t="n">
        <x:v>5</x:v>
      </x:c>
      <x:c r="E792" s="29" t="str">
        <x:v>Seek support if comparisons keep overwhelming your day. You do not have to handle that privately forever.</x:v>
      </x:c>
      <x:c r="F792" s="29" t="str">
        <x:v>Slide 5 of 6. Seek support if comparisons keep overwhelming your day. You do not have to handle that privately forever.</x:v>
      </x:c>
      <x:c r="G792" s="29" t="str">
        <x:v>editorial</x:v>
      </x:c>
      <x:c r="H792" s="29" t="str">
        <x:v>Draft — owner review</x:v>
      </x:c>
    </x:row>
    <x:row r="793" ht="84" customHeight="1">
      <x:c r="A793" s="29" t="str">
        <x:v>BTB-132</x:v>
      </x:c>
      <x:c r="B793" s="62" t="n">
        <x:v>46454</x:v>
      </x:c>
      <x:c r="C793" s="64" t="str">
        <x:v>P2</x:v>
      </x:c>
      <x:c r="D793" s="64" t="n">
        <x:v>6</x:v>
      </x:c>
      <x:c r="E793" s="29" t="str">
        <x:v>Send this to someone whose progress keeps getting measured against news they did not ask for.</x:v>
      </x:c>
      <x:c r="F793" s="29" t="str">
        <x:v>Slide 6 of 6. Send this to someone whose progress keeps getting measured against news they did not ask for.</x:v>
      </x:c>
      <x:c r="G793" s="29" t="str">
        <x:v>editorial</x:v>
      </x:c>
      <x:c r="H793" s="29" t="str">
        <x:v>Draft — owner review</x:v>
      </x:c>
    </x:row>
    <x:row r="794" ht="84" customHeight="1">
      <x:c r="A794" s="29" t="str">
        <x:v>BTB-133</x:v>
      </x:c>
      <x:c r="B794" s="62" t="n">
        <x:v>46455</x:v>
      </x:c>
      <x:c r="C794" s="64" t="str">
        <x:v>P5</x:v>
      </x:c>
      <x:c r="D794" s="64" t="n">
        <x:v>1</x:v>
      </x:c>
      <x:c r="E794" s="29" t="str">
        <x:v>Ask the right professional the right question.</x:v>
      </x:c>
      <x:c r="F794" s="29" t="str">
        <x:v>Slide 1 of 6. Ask the right professional the right question.</x:v>
      </x:c>
      <x:c r="G794" s="29" t="str">
        <x:v>checklist</x:v>
      </x:c>
      <x:c r="H794" s="29" t="str">
        <x:v>Draft — owner review</x:v>
      </x:c>
    </x:row>
    <x:row r="795" ht="84" customHeight="1">
      <x:c r="A795" s="29" t="str">
        <x:v>BTB-133</x:v>
      </x:c>
      <x:c r="B795" s="62" t="n">
        <x:v>46455</x:v>
      </x:c>
      <x:c r="C795" s="64" t="str">
        <x:v>P5</x:v>
      </x:c>
      <x:c r="D795" s="64" t="n">
        <x:v>2</x:v>
      </x:c>
      <x:c r="E795" s="29" t="str">
        <x:v>A friend can offer perspective. A social page can offer language. Neither automatically has the expertise to decide your case.</x:v>
      </x:c>
      <x:c r="F795" s="29" t="str">
        <x:v>Slide 2 of 6. A friend can offer perspective. A social page can offer language. Neither automatically has the expertise to decide your case.</x:v>
      </x:c>
      <x:c r="G795" s="29" t="str">
        <x:v>checklist</x:v>
      </x:c>
      <x:c r="H795" s="29" t="str">
        <x:v>Draft — owner review</x:v>
      </x:c>
    </x:row>
    <x:row r="796" ht="84" customHeight="1">
      <x:c r="A796" s="29" t="str">
        <x:v>BTB-133</x:v>
      </x:c>
      <x:c r="B796" s="62" t="n">
        <x:v>46455</x:v>
      </x:c>
      <x:c r="C796" s="64" t="str">
        <x:v>P5</x:v>
      </x:c>
      <x:c r="D796" s="64" t="n">
        <x:v>3</x:v>
      </x:c>
      <x:c r="E796" s="29" t="str">
        <x:v>Match the question to the need: legal advice, financial advice, health care, or practical support.</x:v>
      </x:c>
      <x:c r="F796" s="29" t="str">
        <x:v>Slide 3 of 6. Match the question to the need: legal advice, financial advice, health care, or practical support.</x:v>
      </x:c>
      <x:c r="G796" s="29" t="str">
        <x:v>checklist</x:v>
      </x:c>
      <x:c r="H796" s="29" t="str">
        <x:v>Draft — owner review</x:v>
      </x:c>
    </x:row>
    <x:row r="797" ht="84" customHeight="1">
      <x:c r="A797" s="29" t="str">
        <x:v>BTB-133</x:v>
      </x:c>
      <x:c r="B797" s="62" t="n">
        <x:v>46455</x:v>
      </x:c>
      <x:c r="C797" s="64" t="str">
        <x:v>P5</x:v>
      </x:c>
      <x:c r="D797" s="64" t="n">
        <x:v>4</x:v>
      </x:c>
      <x:c r="E797" s="29" t="str">
        <x:v>Check the person's relevant qualifications and role. Ask about scope, fees, confidentiality, and what the service can actually provide.</x:v>
      </x:c>
      <x:c r="F797" s="29" t="str">
        <x:v>Slide 4 of 6. Check the person's relevant qualifications and role. Ask about scope, fees, confidentiality, and what the service can actually provide.</x:v>
      </x:c>
      <x:c r="G797" s="29" t="str">
        <x:v>checklist</x:v>
      </x:c>
      <x:c r="H797" s="29" t="str">
        <x:v>Draft — owner review</x:v>
      </x:c>
    </x:row>
    <x:row r="798" ht="84" customHeight="1">
      <x:c r="A798" s="29" t="str">
        <x:v>BTB-133</x:v>
      </x:c>
      <x:c r="B798" s="62" t="n">
        <x:v>46455</x:v>
      </x:c>
      <x:c r="C798" s="64" t="str">
        <x:v>P5</x:v>
      </x:c>
      <x:c r="D798" s="64" t="n">
        <x:v>5</x:v>
      </x:c>
      <x:c r="E798" s="29" t="str">
        <x:v>Keep your own documents and questions accurate. Do not rely on an encouraging answer simply because it is reassuring.</x:v>
      </x:c>
      <x:c r="F798" s="29" t="str">
        <x:v>Slide 5 of 6. Keep your own documents and questions accurate. Do not rely on an encouraging answer simply because it is reassuring.</x:v>
      </x:c>
      <x:c r="G798" s="29" t="str">
        <x:v>checklist</x:v>
      </x:c>
      <x:c r="H798" s="29" t="str">
        <x:v>Draft — owner review</x:v>
      </x:c>
    </x:row>
    <x:row r="799" ht="84" customHeight="1">
      <x:c r="A799" s="29" t="str">
        <x:v>BTB-133</x:v>
      </x:c>
      <x:c r="B799" s="62" t="n">
        <x:v>46455</x:v>
      </x:c>
      <x:c r="C799" s="64" t="str">
        <x:v>P5</x:v>
      </x:c>
      <x:c r="D799" s="64" t="n">
        <x:v>6</x:v>
      </x:c>
      <x:c r="E799" s="29" t="str">
        <x:v>Save this when a high-stakes problem is attracting a crowd of confident opinions.</x:v>
      </x:c>
      <x:c r="F799" s="29" t="str">
        <x:v>Slide 6 of 6. Save this when a high-stakes problem is attracting a crowd of confident opinions.</x:v>
      </x:c>
      <x:c r="G799" s="29" t="str">
        <x:v>checklist</x:v>
      </x:c>
      <x:c r="H799" s="29" t="str">
        <x:v>Draft — owner review</x:v>
      </x:c>
    </x:row>
    <x:row r="800" ht="84" customHeight="1">
      <x:c r="A800" s="29" t="str">
        <x:v>BTB-134</x:v>
      </x:c>
      <x:c r="B800" s="62" t="n">
        <x:v>46456</x:v>
      </x:c>
      <x:c r="C800" s="64" t="str">
        <x:v>P6</x:v>
      </x:c>
      <x:c r="D800" s="64" t="n">
        <x:v>1</x:v>
      </x:c>
      <x:c r="E800" s="29" t="str">
        <x:v>I will not borrow someone else's timeline and call it motivation.</x:v>
      </x:c>
      <x:c r="F800" s="29" t="str">
        <x:v>Slide 1 of 6. I will not borrow someone else's timeline and call it motivation.</x:v>
      </x:c>
      <x:c r="G800" s="29" t="str">
        <x:v>letter</x:v>
      </x:c>
      <x:c r="H800" s="29" t="str">
        <x:v>Draft — owner review</x:v>
      </x:c>
    </x:row>
    <x:row r="801" ht="84" customHeight="1">
      <x:c r="A801" s="29" t="str">
        <x:v>BTB-134</x:v>
      </x:c>
      <x:c r="B801" s="62" t="n">
        <x:v>46456</x:v>
      </x:c>
      <x:c r="C801" s="64" t="str">
        <x:v>P6</x:v>
      </x:c>
      <x:c r="D801" s="64" t="n">
        <x:v>2</x:v>
      </x:c>
      <x:c r="E801" s="29" t="str">
        <x:v>Rebuilding has practical constraints: responsibilities, information, money, energy, and decisions that are not always ours to make.</x:v>
      </x:c>
      <x:c r="F801" s="29" t="str">
        <x:v>Slide 2 of 6. Rebuilding has practical constraints: responsibilities, information, money, energy, and decisions that are not always ours to make.</x:v>
      </x:c>
      <x:c r="G801" s="29" t="str">
        <x:v>letter</x:v>
      </x:c>
      <x:c r="H801" s="29" t="str">
        <x:v>Draft — owner review</x:v>
      </x:c>
    </x:row>
    <x:row r="802" ht="84" customHeight="1">
      <x:c r="A802" s="29" t="str">
        <x:v>BTB-134</x:v>
      </x:c>
      <x:c r="B802" s="62" t="n">
        <x:v>46456</x:v>
      </x:c>
      <x:c r="C802" s="64" t="str">
        <x:v>P6</x:v>
      </x:c>
      <x:c r="D802" s="64" t="n">
        <x:v>3</x:v>
      </x:c>
      <x:c r="E802" s="29" t="str">
        <x:v>This page will encourage action without pretending those constraints are excuses or that effort guarantees a particular outcome.</x:v>
      </x:c>
      <x:c r="F802" s="29" t="str">
        <x:v>Slide 3 of 6. This page will encourage action without pretending those constraints are excuses or that effort guarantees a particular outcome.</x:v>
      </x:c>
      <x:c r="G802" s="29" t="str">
        <x:v>letter</x:v>
      </x:c>
      <x:c r="H802" s="29" t="str">
        <x:v>Draft — owner review</x:v>
      </x:c>
    </x:row>
    <x:row r="803" ht="84" customHeight="1">
      <x:c r="A803" s="29" t="str">
        <x:v>BTB-134</x:v>
      </x:c>
      <x:c r="B803" s="62" t="n">
        <x:v>46456</x:v>
      </x:c>
      <x:c r="C803" s="64" t="str">
        <x:v>P6</x:v>
      </x:c>
      <x:c r="D803" s="64" t="n">
        <x:v>4</x:v>
      </x:c>
      <x:c r="E803" s="29" t="str">
        <x:v>I want room for ambition and for an honest account of what today can hold.</x:v>
      </x:c>
      <x:c r="F803" s="29" t="str">
        <x:v>Slide 4 of 6. I want room for ambition and for an honest account of what today can hold.</x:v>
      </x:c>
      <x:c r="G803" s="29" t="str">
        <x:v>letter</x:v>
      </x:c>
      <x:c r="H803" s="29" t="str">
        <x:v>Draft — owner review</x:v>
      </x:c>
    </x:row>
    <x:row r="804" ht="84" customHeight="1">
      <x:c r="A804" s="29" t="str">
        <x:v>BTB-134</x:v>
      </x:c>
      <x:c r="B804" s="62" t="n">
        <x:v>46456</x:v>
      </x:c>
      <x:c r="C804" s="64" t="str">
        <x:v>P6</x:v>
      </x:c>
      <x:c r="D804" s="64" t="n">
        <x:v>5</x:v>
      </x:c>
      <x:c r="E804" s="29" t="str">
        <x:v>A useful next step matters more than a dramatic deadline invented for a caption.</x:v>
      </x:c>
      <x:c r="F804" s="29" t="str">
        <x:v>Slide 5 of 6. A useful next step matters more than a dramatic deadline invented for a caption.</x:v>
      </x:c>
      <x:c r="G804" s="29" t="str">
        <x:v>letter</x:v>
      </x:c>
      <x:c r="H804" s="29" t="str">
        <x:v>Draft — owner review</x:v>
      </x:c>
    </x:row>
    <x:row r="805" ht="84" customHeight="1">
      <x:c r="A805" s="29" t="str">
        <x:v>BTB-134</x:v>
      </x:c>
      <x:c r="B805" s="62" t="n">
        <x:v>46456</x:v>
      </x:c>
      <x:c r="C805" s="64" t="str">
        <x:v>P6</x:v>
      </x:c>
      <x:c r="D805" s="64" t="n">
        <x:v>6</x:v>
      </x:c>
      <x:c r="E805" s="29" t="str">
        <x:v>Follow for motivation that does not ask you to deny your circumstances.</x:v>
      </x:c>
      <x:c r="F805" s="29" t="str">
        <x:v>Slide 6 of 6. Follow for motivation that does not ask you to deny your circumstances.</x:v>
      </x:c>
      <x:c r="G805" s="29" t="str">
        <x:v>letter</x:v>
      </x:c>
      <x:c r="H805" s="29" t="str">
        <x:v>Draft — owner review</x:v>
      </x:c>
    </x:row>
    <x:row r="806" ht="84" customHeight="1">
      <x:c r="A806" s="29" t="str">
        <x:v>BTB-135</x:v>
      </x:c>
      <x:c r="B806" s="62" t="n">
        <x:v>46457</x:v>
      </x:c>
      <x:c r="C806" s="64" t="str">
        <x:v>P3</x:v>
      </x:c>
      <x:c r="D806" s="64" t="n">
        <x:v>1</x:v>
      </x:c>
      <x:c r="E806" s="29" t="str">
        <x:v>Before posting about parenting, remove the details that belong to your child.</x:v>
      </x:c>
      <x:c r="F806" s="29" t="str">
        <x:v>Slide 1 of 6. Before posting about parenting, remove the details that belong to your child.</x:v>
      </x:c>
      <x:c r="G806" s="29" t="str">
        <x:v>checklist</x:v>
      </x:c>
      <x:c r="H806" s="29" t="str">
        <x:v>Draft — owner review</x:v>
      </x:c>
    </x:row>
    <x:row r="807" ht="84" customHeight="1">
      <x:c r="A807" s="29" t="str">
        <x:v>BTB-135</x:v>
      </x:c>
      <x:c r="B807" s="62" t="n">
        <x:v>46457</x:v>
      </x:c>
      <x:c r="C807" s="64" t="str">
        <x:v>P3</x:v>
      </x:c>
      <x:c r="D807" s="64" t="n">
        <x:v>2</x:v>
      </x:c>
      <x:c r="E807" s="29" t="str">
        <x:v>A story can feel like yours while revealing their private conversation, location, difficulty, or relationship with another adult.</x:v>
      </x:c>
      <x:c r="F807" s="29" t="str">
        <x:v>Slide 2 of 6. A story can feel like yours while revealing their private conversation, location, difficulty, or relationship with another adult.</x:v>
      </x:c>
      <x:c r="G807" s="29" t="str">
        <x:v>checklist</x:v>
      </x:c>
      <x:c r="H807" s="29" t="str">
        <x:v>Draft — owner review</x:v>
      </x:c>
    </x:row>
    <x:row r="808" ht="84" customHeight="1">
      <x:c r="A808" s="29" t="str">
        <x:v>BTB-135</x:v>
      </x:c>
      <x:c r="B808" s="62" t="n">
        <x:v>46457</x:v>
      </x:c>
      <x:c r="C808" s="64" t="str">
        <x:v>P3</x:v>
      </x:c>
      <x:c r="D808" s="64" t="n">
        <x:v>3</x:v>
      </x:c>
      <x:c r="E808" s="29" t="str">
        <x:v>Ask whether the lesson survives without names, faces, dates, school details, or identifiable events.</x:v>
      </x:c>
      <x:c r="F808" s="29" t="str">
        <x:v>Slide 3 of 6. Ask whether the lesson survives without names, faces, dates, school details, or identifiable events.</x:v>
      </x:c>
      <x:c r="G808" s="29" t="str">
        <x:v>checklist</x:v>
      </x:c>
      <x:c r="H808" s="29" t="str">
        <x:v>Draft — owner review</x:v>
      </x:c>
    </x:row>
    <x:row r="809" ht="84" customHeight="1">
      <x:c r="A809" s="29" t="str">
        <x:v>BTB-135</x:v>
      </x:c>
      <x:c r="B809" s="62" t="n">
        <x:v>46457</x:v>
      </x:c>
      <x:c r="C809" s="64" t="str">
        <x:v>P3</x:v>
      </x:c>
      <x:c r="D809" s="64" t="n">
        <x:v>4</x:v>
      </x:c>
      <x:c r="E809" s="29" t="str">
        <x:v>If it does not, the story may need to remain private rather than be edited into something misleading.</x:v>
      </x:c>
      <x:c r="F809" s="29" t="str">
        <x:v>Slide 4 of 6. If it does not, the story may need to remain private rather than be edited into something misleading.</x:v>
      </x:c>
      <x:c r="G809" s="29" t="str">
        <x:v>checklist</x:v>
      </x:c>
      <x:c r="H809" s="29" t="str">
        <x:v>Draft — owner review</x:v>
      </x:c>
    </x:row>
    <x:row r="810" ht="84" customHeight="1">
      <x:c r="A810" s="29" t="str">
        <x:v>BTB-135</x:v>
      </x:c>
      <x:c r="B810" s="62" t="n">
        <x:v>46457</x:v>
      </x:c>
      <x:c r="C810" s="64" t="str">
        <x:v>P3</x:v>
      </x:c>
      <x:c r="D810" s="64" t="n">
        <x:v>5</x:v>
      </x:c>
      <x:c r="E810" s="29" t="str">
        <x:v>Do not post family conflict as a request for strangers to decide who is the better parent.</x:v>
      </x:c>
      <x:c r="F810" s="29" t="str">
        <x:v>Slide 5 of 6. Do not post family conflict as a request for strangers to decide who is the better parent.</x:v>
      </x:c>
      <x:c r="G810" s="29" t="str">
        <x:v>checklist</x:v>
      </x:c>
      <x:c r="H810" s="29" t="str">
        <x:v>Draft — owner review</x:v>
      </x:c>
    </x:row>
    <x:row r="811" ht="84" customHeight="1">
      <x:c r="A811" s="29" t="str">
        <x:v>BTB-135</x:v>
      </x:c>
      <x:c r="B811" s="62" t="n">
        <x:v>46457</x:v>
      </x:c>
      <x:c r="C811" s="64" t="str">
        <x:v>P3</x:v>
      </x:c>
      <x:c r="D811" s="64" t="n">
        <x:v>6</x:v>
      </x:c>
      <x:c r="E811" s="29" t="str">
        <x:v>Save this privacy check before turning a meaningful family moment into public content.</x:v>
      </x:c>
      <x:c r="F811" s="29" t="str">
        <x:v>Slide 6 of 6. Save this privacy check before turning a meaningful family moment into public content.</x:v>
      </x:c>
      <x:c r="G811" s="29" t="str">
        <x:v>checklist</x:v>
      </x:c>
      <x:c r="H811" s="29" t="str">
        <x:v>Draft — owner review</x:v>
      </x:c>
    </x:row>
    <x:row r="812" ht="84" customHeight="1">
      <x:c r="A812" s="29" t="str">
        <x:v>BTB-136</x:v>
      </x:c>
      <x:c r="B812" s="62" t="n">
        <x:v>46458</x:v>
      </x:c>
      <x:c r="C812" s="64" t="str">
        <x:v>P4</x:v>
      </x:c>
      <x:c r="D812" s="64" t="n">
        <x:v>1</x:v>
      </x:c>
      <x:c r="E812" s="29" t="str">
        <x:v>“They could be different” is not the same as “something has changed.”</x:v>
      </x:c>
      <x:c r="F812" s="29" t="str">
        <x:v>Slide 1 of 6. “They could be different” is not the same as “something has changed.”</x:v>
      </x:c>
      <x:c r="G812" s="29" t="str">
        <x:v>contrast</x:v>
      </x:c>
      <x:c r="H812" s="29" t="str">
        <x:v>Draft — owner review</x:v>
      </x:c>
    </x:row>
    <x:row r="813" ht="84" customHeight="1">
      <x:c r="A813" s="29" t="str">
        <x:v>BTB-136</x:v>
      </x:c>
      <x:c r="B813" s="62" t="n">
        <x:v>46458</x:v>
      </x:c>
      <x:c r="C813" s="64" t="str">
        <x:v>P4</x:v>
      </x:c>
      <x:c r="D813" s="64" t="n">
        <x:v>2</x:v>
      </x:c>
      <x:c r="E813" s="29" t="str">
        <x:v>Possibility can keep hope alive. A decision about present trust also needs present information.</x:v>
      </x:c>
      <x:c r="F813" s="29" t="str">
        <x:v>Slide 2 of 6. Possibility can keep hope alive. A decision about present trust also needs present information.</x:v>
      </x:c>
      <x:c r="G813" s="29" t="str">
        <x:v>contrast</x:v>
      </x:c>
      <x:c r="H813" s="29" t="str">
        <x:v>Draft — owner review</x:v>
      </x:c>
    </x:row>
    <x:row r="814" ht="84" customHeight="1">
      <x:c r="A814" s="29" t="str">
        <x:v>BTB-136</x:v>
      </x:c>
      <x:c r="B814" s="62" t="n">
        <x:v>46458</x:v>
      </x:c>
      <x:c r="C814" s="64" t="str">
        <x:v>P4</x:v>
      </x:c>
      <x:c r="D814" s="64" t="n">
        <x:v>3</x:v>
      </x:c>
      <x:c r="E814" s="29" t="str">
        <x:v>Ask what is different now, what remains the same, and what you still do not know.</x:v>
      </x:c>
      <x:c r="F814" s="29" t="str">
        <x:v>Slide 3 of 6. Ask what is different now, what remains the same, and what you still do not know.</x:v>
      </x:c>
      <x:c r="G814" s="29" t="str">
        <x:v>contrast</x:v>
      </x:c>
      <x:c r="H814" s="29" t="str">
        <x:v>Draft — owner review</x:v>
      </x:c>
    </x:row>
    <x:row r="815" ht="84" customHeight="1">
      <x:c r="A815" s="29" t="str">
        <x:v>BTB-136</x:v>
      </x:c>
      <x:c r="B815" s="62" t="n">
        <x:v>46458</x:v>
      </x:c>
      <x:c r="C815" s="64" t="str">
        <x:v>P4</x:v>
      </x:c>
      <x:c r="D815" s="64" t="n">
        <x:v>4</x:v>
      </x:c>
      <x:c r="E815" s="29" t="str">
        <x:v>Keep observations separate from the person you imagine someone might become.</x:v>
      </x:c>
      <x:c r="F815" s="29" t="str">
        <x:v>Slide 4 of 6. Keep observations separate from the person you imagine someone might become.</x:v>
      </x:c>
      <x:c r="G815" s="29" t="str">
        <x:v>contrast</x:v>
      </x:c>
      <x:c r="H815" s="29" t="str">
        <x:v>Draft — owner review</x:v>
      </x:c>
    </x:row>
    <x:row r="816" ht="84" customHeight="1">
      <x:c r="A816" s="29" t="str">
        <x:v>BTB-136</x:v>
      </x:c>
      <x:c r="B816" s="62" t="n">
        <x:v>46458</x:v>
      </x:c>
      <x:c r="C816" s="64" t="str">
        <x:v>P4</x:v>
      </x:c>
      <x:c r="D816" s="64" t="n">
        <x:v>5</x:v>
      </x:c>
      <x:c r="E816" s="29" t="str">
        <x:v>You can wish them growth without offering access that does not feel safe or appropriate.</x:v>
      </x:c>
      <x:c r="F816" s="29" t="str">
        <x:v>Slide 5 of 6. You can wish them growth without offering access that does not feel safe or appropriate.</x:v>
      </x:c>
      <x:c r="G816" s="29" t="str">
        <x:v>contrast</x:v>
      </x:c>
      <x:c r="H816" s="29" t="str">
        <x:v>Draft — owner review</x:v>
      </x:c>
    </x:row>
    <x:row r="817" ht="84" customHeight="1">
      <x:c r="A817" s="29" t="str">
        <x:v>BTB-136</x:v>
      </x:c>
      <x:c r="B817" s="62" t="n">
        <x:v>46458</x:v>
      </x:c>
      <x:c r="C817" s="64" t="str">
        <x:v>P4</x:v>
      </x:c>
      <x:c r="D817" s="64" t="n">
        <x:v>6</x:v>
      </x:c>
      <x:c r="E817" s="29" t="str">
        <x:v>Share this with someone trying to make a present decision from a future possibility.</x:v>
      </x:c>
      <x:c r="F817" s="29" t="str">
        <x:v>Slide 6 of 6. Share this with someone trying to make a present decision from a future possibility.</x:v>
      </x:c>
      <x:c r="G817" s="29" t="str">
        <x:v>contrast</x:v>
      </x:c>
      <x:c r="H817" s="29" t="str">
        <x:v>Draft — owner review</x:v>
      </x:c>
    </x:row>
    <x:row r="818" ht="84" customHeight="1">
      <x:c r="A818" s="29" t="str">
        <x:v>BTB-137</x:v>
      </x:c>
      <x:c r="B818" s="62" t="n">
        <x:v>46459</x:v>
      </x:c>
      <x:c r="C818" s="64" t="str">
        <x:v>P5</x:v>
      </x:c>
      <x:c r="D818" s="64" t="n">
        <x:v>1</x:v>
      </x:c>
      <x:c r="E818" s="29" t="str">
        <x:v>Make the morning easier before it becomes the morning.</x:v>
      </x:c>
      <x:c r="F818" s="29" t="str">
        <x:v>Slide 1 of 6. Make the morning easier before it becomes the morning.</x:v>
      </x:c>
      <x:c r="G818" s="29" t="str">
        <x:v>checklist</x:v>
      </x:c>
      <x:c r="H818" s="29" t="str">
        <x:v>Draft — owner review</x:v>
      </x:c>
    </x:row>
    <x:row r="819" ht="84" customHeight="1">
      <x:c r="A819" s="29" t="str">
        <x:v>BTB-137</x:v>
      </x:c>
      <x:c r="B819" s="62" t="n">
        <x:v>46459</x:v>
      </x:c>
      <x:c r="C819" s="64" t="str">
        <x:v>P5</x:v>
      </x:c>
      <x:c r="D819" s="64" t="n">
        <x:v>2</x:v>
      </x:c>
      <x:c r="E819" s="29" t="str">
        <x:v>A few recurring decisions may be creating avoidable pressure when time is already limited.</x:v>
      </x:c>
      <x:c r="F819" s="29" t="str">
        <x:v>Slide 2 of 6. A few recurring decisions may be creating avoidable pressure when time is already limited.</x:v>
      </x:c>
      <x:c r="G819" s="29" t="str">
        <x:v>checklist</x:v>
      </x:c>
      <x:c r="H819" s="29" t="str">
        <x:v>Draft — owner review</x:v>
      </x:c>
    </x:row>
    <x:row r="820" ht="84" customHeight="1">
      <x:c r="A820" s="29" t="str">
        <x:v>BTB-137</x:v>
      </x:c>
      <x:c r="B820" s="62" t="n">
        <x:v>46459</x:v>
      </x:c>
      <x:c r="C820" s="64" t="str">
        <x:v>P5</x:v>
      </x:c>
      <x:c r="D820" s="64" t="n">
        <x:v>3</x:v>
      </x:c>
      <x:c r="E820" s="29" t="str">
        <x:v>Choose one preparation task the evening before: essential items in one place, the first appointment checked, or a needed document ready.</x:v>
      </x:c>
      <x:c r="F820" s="29" t="str">
        <x:v>Slide 3 of 6. Choose one preparation task the evening before: essential items in one place, the first appointment checked, or a needed document ready.</x:v>
      </x:c>
      <x:c r="G820" s="29" t="str">
        <x:v>checklist</x:v>
      </x:c>
      <x:c r="H820" s="29" t="str">
        <x:v>Draft — owner review</x:v>
      </x:c>
    </x:row>
    <x:row r="821" ht="84" customHeight="1">
      <x:c r="A821" s="29" t="str">
        <x:v>BTB-137</x:v>
      </x:c>
      <x:c r="B821" s="62" t="n">
        <x:v>46459</x:v>
      </x:c>
      <x:c r="C821" s="64" t="str">
        <x:v>P5</x:v>
      </x:c>
      <x:c r="D821" s="64" t="n">
        <x:v>4</x:v>
      </x:c>
      <x:c r="E821" s="29" t="str">
        <x:v>Do not create an elaborate night routine you cannot maintain. Start with the one thing most often missing.</x:v>
      </x:c>
      <x:c r="F821" s="29" t="str">
        <x:v>Slide 4 of 6. Do not create an elaborate night routine you cannot maintain. Start with the one thing most often missing.</x:v>
      </x:c>
      <x:c r="G821" s="29" t="str">
        <x:v>checklist</x:v>
      </x:c>
      <x:c r="H821" s="29" t="str">
        <x:v>Draft — owner review</x:v>
      </x:c>
    </x:row>
    <x:row r="822" ht="84" customHeight="1">
      <x:c r="A822" s="29" t="str">
        <x:v>BTB-137</x:v>
      </x:c>
      <x:c r="B822" s="62" t="n">
        <x:v>46459</x:v>
      </x:c>
      <x:c r="C822" s="64" t="str">
        <x:v>P5</x:v>
      </x:c>
      <x:c r="D822" s="64" t="n">
        <x:v>5</x:v>
      </x:c>
      <x:c r="E822" s="29" t="str">
        <x:v>Adjust the idea to caregiving, work, and health needs. Useful preparation should fit your life.</x:v>
      </x:c>
      <x:c r="F822" s="29" t="str">
        <x:v>Slide 5 of 6. Adjust the idea to caregiving, work, and health needs. Useful preparation should fit your life.</x:v>
      </x:c>
      <x:c r="G822" s="29" t="str">
        <x:v>checklist</x:v>
      </x:c>
      <x:c r="H822" s="29" t="str">
        <x:v>Draft — owner review</x:v>
      </x:c>
    </x:row>
    <x:row r="823" ht="84" customHeight="1">
      <x:c r="A823" s="29" t="str">
        <x:v>BTB-137</x:v>
      </x:c>
      <x:c r="B823" s="62" t="n">
        <x:v>46459</x:v>
      </x:c>
      <x:c r="C823" s="64" t="str">
        <x:v>P5</x:v>
      </x:c>
      <x:c r="D823" s="64" t="n">
        <x:v>6</x:v>
      </x:c>
      <x:c r="E823" s="29" t="str">
        <x:v>Save this for the small problem that keeps introducing itself at the worst time.</x:v>
      </x:c>
      <x:c r="F823" s="29" t="str">
        <x:v>Slide 6 of 6. Save this for the small problem that keeps introducing itself at the worst time.</x:v>
      </x:c>
      <x:c r="G823" s="29" t="str">
        <x:v>checklist</x:v>
      </x:c>
      <x:c r="H823" s="29" t="str">
        <x:v>Draft — owner review</x:v>
      </x:c>
    </x:row>
    <x:row r="824" ht="84" customHeight="1">
      <x:c r="A824" s="29" t="str">
        <x:v>BTB-138</x:v>
      </x:c>
      <x:c r="B824" s="62" t="n">
        <x:v>46460</x:v>
      </x:c>
      <x:c r="C824" s="64" t="str">
        <x:v>P1</x:v>
      </x:c>
      <x:c r="D824" s="64" t="n">
        <x:v>1</x:v>
      </x:c>
      <x:c r="E824" s="29" t="str">
        <x:v>Hope does not need to name the date everything will be fine.</x:v>
      </x:c>
      <x:c r="F824" s="29" t="str">
        <x:v>Slide 1 of 6. Hope does not need to name the date everything will be fine.</x:v>
      </x:c>
      <x:c r="G824" s="29" t="str">
        <x:v>editorial</x:v>
      </x:c>
      <x:c r="H824" s="29" t="str">
        <x:v>Draft — owner review</x:v>
      </x:c>
    </x:row>
    <x:row r="825" ht="84" customHeight="1">
      <x:c r="A825" s="29" t="str">
        <x:v>BTB-138</x:v>
      </x:c>
      <x:c r="B825" s="62" t="n">
        <x:v>46460</x:v>
      </x:c>
      <x:c r="C825" s="64" t="str">
        <x:v>P1</x:v>
      </x:c>
      <x:c r="D825" s="64" t="n">
        <x:v>2</x:v>
      </x:c>
      <x:c r="E825" s="29" t="str">
        <x:v>Sometimes hope is simply refusing to treat today's uncertainty as complete knowledge of the future.</x:v>
      </x:c>
      <x:c r="F825" s="29" t="str">
        <x:v>Slide 2 of 6. Sometimes hope is simply refusing to treat today's uncertainty as complete knowledge of the future.</x:v>
      </x:c>
      <x:c r="G825" s="29" t="str">
        <x:v>editorial</x:v>
      </x:c>
      <x:c r="H825" s="29" t="str">
        <x:v>Draft — owner review</x:v>
      </x:c>
    </x:row>
    <x:row r="826" ht="84" customHeight="1">
      <x:c r="A826" s="29" t="str">
        <x:v>BTB-138</x:v>
      </x:c>
      <x:c r="B826" s="62" t="n">
        <x:v>46460</x:v>
      </x:c>
      <x:c r="C826" s="64" t="str">
        <x:v>P1</x:v>
      </x:c>
      <x:c r="D826" s="64" t="n">
        <x:v>3</x:v>
      </x:c>
      <x:c r="E826" s="29" t="str">
        <x:v>You can say, “I do not know how this will unfold,” and still choose a useful next step.</x:v>
      </x:c>
      <x:c r="F826" s="29" t="str">
        <x:v>Slide 3 of 6. You can say, “I do not know how this will unfold,” and still choose a useful next step.</x:v>
      </x:c>
      <x:c r="G826" s="29" t="str">
        <x:v>editorial</x:v>
      </x:c>
      <x:c r="H826" s="29" t="str">
        <x:v>Draft — owner review</x:v>
      </x:c>
    </x:row>
    <x:row r="827" ht="84" customHeight="1">
      <x:c r="A827" s="29" t="str">
        <x:v>BTB-138</x:v>
      </x:c>
      <x:c r="B827" s="62" t="n">
        <x:v>46460</x:v>
      </x:c>
      <x:c r="C827" s="64" t="str">
        <x:v>P1</x:v>
      </x:c>
      <x:c r="D827" s="64" t="n">
        <x:v>4</x:v>
      </x:c>
      <x:c r="E827" s="29" t="str">
        <x:v>Find one part of the situation where action is possible and one part where support is needed.</x:v>
      </x:c>
      <x:c r="F827" s="29" t="str">
        <x:v>Slide 4 of 6. Find one part of the situation where action is possible and one part where support is needed.</x:v>
      </x:c>
      <x:c r="G827" s="29" t="str">
        <x:v>editorial</x:v>
      </x:c>
      <x:c r="H827" s="29" t="str">
        <x:v>Draft — owner review</x:v>
      </x:c>
    </x:row>
    <x:row r="828" ht="84" customHeight="1">
      <x:c r="A828" s="29" t="str">
        <x:v>BTB-138</x:v>
      </x:c>
      <x:c r="B828" s="62" t="n">
        <x:v>46460</x:v>
      </x:c>
      <x:c r="C828" s="64" t="str">
        <x:v>P1</x:v>
      </x:c>
      <x:c r="D828" s="64" t="n">
        <x:v>5</x:v>
      </x:c>
      <x:c r="E828" s="29" t="str">
        <x:v>Leave the outcome honest. Effort matters without becoming a guarantee.</x:v>
      </x:c>
      <x:c r="F828" s="29" t="str">
        <x:v>Slide 5 of 6. Leave the outcome honest. Effort matters without becoming a guarantee.</x:v>
      </x:c>
      <x:c r="G828" s="29" t="str">
        <x:v>editorial</x:v>
      </x:c>
      <x:c r="H828" s="29" t="str">
        <x:v>Draft — owner review</x:v>
      </x:c>
    </x:row>
    <x:row r="829" ht="84" customHeight="1">
      <x:c r="A829" s="29" t="str">
        <x:v>BTB-138</x:v>
      </x:c>
      <x:c r="B829" s="62" t="n">
        <x:v>46460</x:v>
      </x:c>
      <x:c r="C829" s="64" t="str">
        <x:v>P1</x:v>
      </x:c>
      <x:c r="D829" s="64" t="n">
        <x:v>6</x:v>
      </x:c>
      <x:c r="E829" s="29" t="str">
        <x:v>Send this to someone who wants hope without another promise nobody can verify.</x:v>
      </x:c>
      <x:c r="F829" s="29" t="str">
        <x:v>Slide 6 of 6. Send this to someone who wants hope without another promise nobody can verify.</x:v>
      </x:c>
      <x:c r="G829" s="29" t="str">
        <x:v>editorial</x:v>
      </x:c>
      <x:c r="H829" s="29" t="str">
        <x:v>Draft — owner review</x:v>
      </x:c>
    </x:row>
    <x:row r="830" ht="84" customHeight="1">
      <x:c r="A830" s="29" t="str">
        <x:v>BTB-139</x:v>
      </x:c>
      <x:c r="B830" s="62" t="n">
        <x:v>46461</x:v>
      </x:c>
      <x:c r="C830" s="64" t="str">
        <x:v>P2</x:v>
      </x:c>
      <x:c r="D830" s="64" t="n">
        <x:v>1</x:v>
      </x:c>
      <x:c r="E830" s="29" t="str">
        <x:v>You can tell someone you are unsure without asking them to choose for you.</x:v>
      </x:c>
      <x:c r="F830" s="29" t="str">
        <x:v>Slide 1 of 6. You can tell someone you are unsure without asking them to choose for you.</x:v>
      </x:c>
      <x:c r="G830" s="29" t="str">
        <x:v>script</x:v>
      </x:c>
      <x:c r="H830" s="29" t="str">
        <x:v>Draft — owner review</x:v>
      </x:c>
    </x:row>
    <x:row r="831" ht="84" customHeight="1">
      <x:c r="A831" s="29" t="str">
        <x:v>BTB-139</x:v>
      </x:c>
      <x:c r="B831" s="62" t="n">
        <x:v>46461</x:v>
      </x:c>
      <x:c r="C831" s="64" t="str">
        <x:v>P2</x:v>
      </x:c>
      <x:c r="D831" s="64" t="n">
        <x:v>2</x:v>
      </x:c>
      <x:c r="E831" s="29" t="str">
        <x:v>A complicated decision may need a sounding board rather than another confident verdict.</x:v>
      </x:c>
      <x:c r="F831" s="29" t="str">
        <x:v>Slide 2 of 6. A complicated decision may need a sounding board rather than another confident verdict.</x:v>
      </x:c>
      <x:c r="G831" s="29" t="str">
        <x:v>script</x:v>
      </x:c>
      <x:c r="H831" s="29" t="str">
        <x:v>Draft — owner review</x:v>
      </x:c>
    </x:row>
    <x:row r="832" ht="84" customHeight="1">
      <x:c r="A832" s="29" t="str">
        <x:v>BTB-139</x:v>
      </x:c>
      <x:c r="B832" s="62" t="n">
        <x:v>46461</x:v>
      </x:c>
      <x:c r="C832" s="64" t="str">
        <x:v>P2</x:v>
      </x:c>
      <x:c r="D832" s="64" t="n">
        <x:v>3</x:v>
      </x:c>
      <x:c r="E832" s="29" t="str">
        <x:v>Try: “Could you help me think through the options? I am not asking you to make the decision.”</x:v>
      </x:c>
      <x:c r="F832" s="29" t="str">
        <x:v>Slide 3 of 6. Try: “Could you help me think through the options? I am not asking you to make the decision.”</x:v>
      </x:c>
      <x:c r="G832" s="29" t="str">
        <x:v>script</x:v>
      </x:c>
      <x:c r="H832" s="29" t="str">
        <x:v>Draft — owner review</x:v>
      </x:c>
    </x:row>
    <x:row r="833" ht="84" customHeight="1">
      <x:c r="A833" s="29" t="str">
        <x:v>BTB-139</x:v>
      </x:c>
      <x:c r="B833" s="62" t="n">
        <x:v>46461</x:v>
      </x:c>
      <x:c r="C833" s="64" t="str">
        <x:v>P2</x:v>
      </x:c>
      <x:c r="D833" s="64" t="n">
        <x:v>4</x:v>
      </x:c>
      <x:c r="E833" s="29" t="str">
        <x:v>Explain what matters to you and where information is missing. Ask for questions as well as opinions.</x:v>
      </x:c>
      <x:c r="F833" s="29" t="str">
        <x:v>Slide 4 of 6. Explain what matters to you and where information is missing. Ask for questions as well as opinions.</x:v>
      </x:c>
      <x:c r="G833" s="29" t="str">
        <x:v>script</x:v>
      </x:c>
      <x:c r="H833" s="29" t="str">
        <x:v>Draft — owner review</x:v>
      </x:c>
    </x:row>
    <x:row r="834" ht="84" customHeight="1">
      <x:c r="A834" s="29" t="str">
        <x:v>BTB-139</x:v>
      </x:c>
      <x:c r="B834" s="62" t="n">
        <x:v>46461</x:v>
      </x:c>
      <x:c r="C834" s="64" t="str">
        <x:v>P2</x:v>
      </x:c>
      <x:c r="D834" s="64" t="n">
        <x:v>5</x:v>
      </x:c>
      <x:c r="E834" s="29" t="str">
        <x:v>Take high-stakes questions to qualified professionals. Personal support and professional advice have different roles.</x:v>
      </x:c>
      <x:c r="F834" s="29" t="str">
        <x:v>Slide 5 of 6. Take high-stakes questions to qualified professionals. Personal support and professional advice have different roles.</x:v>
      </x:c>
      <x:c r="G834" s="29" t="str">
        <x:v>script</x:v>
      </x:c>
      <x:c r="H834" s="29" t="str">
        <x:v>Draft — owner review</x:v>
      </x:c>
    </x:row>
    <x:row r="835" ht="84" customHeight="1">
      <x:c r="A835" s="29" t="str">
        <x:v>BTB-139</x:v>
      </x:c>
      <x:c r="B835" s="62" t="n">
        <x:v>46461</x:v>
      </x:c>
      <x:c r="C835" s="64" t="str">
        <x:v>P2</x:v>
      </x:c>
      <x:c r="D835" s="64" t="n">
        <x:v>6</x:v>
      </x:c>
      <x:c r="E835" s="29" t="str">
        <x:v>Save this wording for a conversation where uncertainty needs room, not pressure.</x:v>
      </x:c>
      <x:c r="F835" s="29" t="str">
        <x:v>Slide 6 of 6. Save this wording for a conversation where uncertainty needs room, not pressure.</x:v>
      </x:c>
      <x:c r="G835" s="29" t="str">
        <x:v>script</x:v>
      </x:c>
      <x:c r="H835" s="29" t="str">
        <x:v>Draft — owner review</x:v>
      </x:c>
    </x:row>
    <x:row r="836" ht="84" customHeight="1">
      <x:c r="A836" s="29" t="str">
        <x:v>BTB-140</x:v>
      </x:c>
      <x:c r="B836" s="62" t="n">
        <x:v>46462</x:v>
      </x:c>
      <x:c r="C836" s="64" t="str">
        <x:v>P3</x:v>
      </x:c>
      <x:c r="D836" s="64" t="n">
        <x:v>1</x:v>
      </x:c>
      <x:c r="E836" s="29" t="str">
        <x:v>A child's activity plan includes the transport, not just the registration.</x:v>
      </x:c>
      <x:c r="F836" s="29" t="str">
        <x:v>Slide 1 of 6. A child's activity plan includes the transport, not just the registration.</x:v>
      </x:c>
      <x:c r="G836" s="29" t="str">
        <x:v>checklist</x:v>
      </x:c>
      <x:c r="H836" s="29" t="str">
        <x:v>Draft — owner review</x:v>
      </x:c>
    </x:row>
    <x:row r="837" ht="84" customHeight="1">
      <x:c r="A837" s="29" t="str">
        <x:v>BTB-140</x:v>
      </x:c>
      <x:c r="B837" s="62" t="n">
        <x:v>46462</x:v>
      </x:c>
      <x:c r="C837" s="64" t="str">
        <x:v>P3</x:v>
      </x:c>
      <x:c r="D837" s="64" t="n">
        <x:v>2</x:v>
      </x:c>
      <x:c r="E837" s="29" t="str">
        <x:v>A good idea can create stress when times, costs, equipment, and travel are not considered together.</x:v>
      </x:c>
      <x:c r="F837" s="29" t="str">
        <x:v>Slide 2 of 6. A good idea can create stress when times, costs, equipment, and travel are not considered together.</x:v>
      </x:c>
      <x:c r="G837" s="29" t="str">
        <x:v>checklist</x:v>
      </x:c>
      <x:c r="H837" s="29" t="str">
        <x:v>Draft — owner review</x:v>
      </x:c>
    </x:row>
    <x:row r="838" ht="84" customHeight="1">
      <x:c r="A838" s="29" t="str">
        <x:v>BTB-140</x:v>
      </x:c>
      <x:c r="B838" s="62" t="n">
        <x:v>46462</x:v>
      </x:c>
      <x:c r="C838" s="64" t="str">
        <x:v>P3</x:v>
      </x:c>
      <x:c r="D838" s="64" t="n">
        <x:v>3</x:v>
      </x:c>
      <x:c r="E838" s="29" t="str">
        <x:v>Check the actual schedule and the responsibilities involved. Seek agreement or consent where your arrangements require it.</x:v>
      </x:c>
      <x:c r="F838" s="29" t="str">
        <x:v>Slide 3 of 6. Check the actual schedule and the responsibilities involved. Seek agreement or consent where your arrangements require it.</x:v>
      </x:c>
      <x:c r="G838" s="29" t="str">
        <x:v>checklist</x:v>
      </x:c>
      <x:c r="H838" s="29" t="str">
        <x:v>Draft — owner review</x:v>
      </x:c>
    </x:row>
    <x:row r="839" ht="84" customHeight="1">
      <x:c r="A839" s="29" t="str">
        <x:v>BTB-140</x:v>
      </x:c>
      <x:c r="B839" s="62" t="n">
        <x:v>46462</x:v>
      </x:c>
      <x:c r="C839" s="64" t="str">
        <x:v>P3</x:v>
      </x:c>
      <x:c r="D839" s="64" t="n">
        <x:v>4</x:v>
      </x:c>
      <x:c r="E839" s="29" t="str">
        <x:v>Keep the child out of negotiations between adults. Do not ask them to secure a yes for you.</x:v>
      </x:c>
      <x:c r="F839" s="29" t="str">
        <x:v>Slide 4 of 6. Keep the child out of negotiations between adults. Do not ask them to secure a yes for you.</x:v>
      </x:c>
      <x:c r="G839" s="29" t="str">
        <x:v>checklist</x:v>
      </x:c>
      <x:c r="H839" s="29" t="str">
        <x:v>Draft — owner review</x:v>
      </x:c>
    </x:row>
    <x:row r="840" ht="84" customHeight="1">
      <x:c r="A840" s="29" t="str">
        <x:v>BTB-140</x:v>
      </x:c>
      <x:c r="B840" s="62" t="n">
        <x:v>46462</x:v>
      </x:c>
      <x:c r="C840" s="64" t="str">
        <x:v>P3</x:v>
      </x:c>
      <x:c r="D840" s="64" t="n">
        <x:v>5</x:v>
      </x:c>
      <x:c r="E840" s="29" t="str">
        <x:v>Choose a realistic plan rather than promising participation before the practical details are settled.</x:v>
      </x:c>
      <x:c r="F840" s="29" t="str">
        <x:v>Slide 5 of 6. Choose a realistic plan rather than promising participation before the practical details are settled.</x:v>
      </x:c>
      <x:c r="G840" s="29" t="str">
        <x:v>checklist</x:v>
      </x:c>
      <x:c r="H840" s="29" t="str">
        <x:v>Draft — owner review</x:v>
      </x:c>
    </x:row>
    <x:row r="841" ht="84" customHeight="1">
      <x:c r="A841" s="29" t="str">
        <x:v>BTB-140</x:v>
      </x:c>
      <x:c r="B841" s="62" t="n">
        <x:v>46462</x:v>
      </x:c>
      <x:c r="C841" s="64" t="str">
        <x:v>P3</x:v>
      </x:c>
      <x:c r="D841" s="64" t="n">
        <x:v>6</x:v>
      </x:c>
      <x:c r="E841" s="29" t="str">
        <x:v>Save this before turning enthusiasm for an activity into an avoidable adult disagreement.</x:v>
      </x:c>
      <x:c r="F841" s="29" t="str">
        <x:v>Slide 6 of 6. Save this before turning enthusiasm for an activity into an avoidable adult disagreement.</x:v>
      </x:c>
      <x:c r="G841" s="29" t="str">
        <x:v>checklist</x:v>
      </x:c>
      <x:c r="H841" s="29" t="str">
        <x:v>Draft — owner review</x:v>
      </x:c>
    </x:row>
    <x:row r="842" ht="84" customHeight="1">
      <x:c r="A842" s="29" t="str">
        <x:v>BTB-141</x:v>
      </x:c>
      <x:c r="B842" s="62" t="n">
        <x:v>46463</x:v>
      </x:c>
      <x:c r="C842" s="64" t="str">
        <x:v>P4</x:v>
      </x:c>
      <x:c r="D842" s="64" t="n">
        <x:v>1</x:v>
      </x:c>
      <x:c r="E842" s="29" t="str">
        <x:v>You can receive care without proving you could have managed alone.</x:v>
      </x:c>
      <x:c r="F842" s="29" t="str">
        <x:v>Slide 1 of 6. You can receive care without proving you could have managed alone.</x:v>
      </x:c>
      <x:c r="G842" s="29" t="str">
        <x:v>editorial</x:v>
      </x:c>
      <x:c r="H842" s="29" t="str">
        <x:v>Draft — owner review</x:v>
      </x:c>
    </x:row>
    <x:row r="843" ht="84" customHeight="1">
      <x:c r="A843" s="29" t="str">
        <x:v>BTB-141</x:v>
      </x:c>
      <x:c r="B843" s="62" t="n">
        <x:v>46463</x:v>
      </x:c>
      <x:c r="C843" s="64" t="str">
        <x:v>P4</x:v>
      </x:c>
      <x:c r="D843" s="64" t="n">
        <x:v>2</x:v>
      </x:c>
      <x:c r="E843" s="29" t="str">
        <x:v>An offer of practical help does not automatically mean someone sees you as incapable.</x:v>
      </x:c>
      <x:c r="F843" s="29" t="str">
        <x:v>Slide 2 of 6. An offer of practical help does not automatically mean someone sees you as incapable.</x:v>
      </x:c>
      <x:c r="G843" s="29" t="str">
        <x:v>editorial</x:v>
      </x:c>
      <x:c r="H843" s="29" t="str">
        <x:v>Draft — owner review</x:v>
      </x:c>
    </x:row>
    <x:row r="844" ht="84" customHeight="1">
      <x:c r="A844" s="29" t="str">
        <x:v>BTB-141</x:v>
      </x:c>
      <x:c r="B844" s="62" t="n">
        <x:v>46463</x:v>
      </x:c>
      <x:c r="C844" s="64" t="str">
        <x:v>P4</x:v>
      </x:c>
      <x:c r="D844" s="64" t="n">
        <x:v>3</x:v>
      </x:c>
      <x:c r="E844" s="29" t="str">
        <x:v>Consider what is being offered, whether it feels appropriate, and whether you are comfortable accepting.</x:v>
      </x:c>
      <x:c r="F844" s="29" t="str">
        <x:v>Slide 3 of 6. Consider what is being offered, whether it feels appropriate, and whether you are comfortable accepting.</x:v>
      </x:c>
      <x:c r="G844" s="29" t="str">
        <x:v>editorial</x:v>
      </x:c>
      <x:c r="H844" s="29" t="str">
        <x:v>Draft — owner review</x:v>
      </x:c>
    </x:row>
    <x:row r="845" ht="84" customHeight="1">
      <x:c r="A845" s="29" t="str">
        <x:v>BTB-141</x:v>
      </x:c>
      <x:c r="B845" s="62" t="n">
        <x:v>46463</x:v>
      </x:c>
      <x:c r="C845" s="64" t="str">
        <x:v>P4</x:v>
      </x:c>
      <x:c r="D845" s="64" t="n">
        <x:v>4</x:v>
      </x:c>
      <x:c r="E845" s="29" t="str">
        <x:v>Give a clear answer. Gratitude does not require unlimited access, obligation, or surrendering your boundaries.</x:v>
      </x:c>
      <x:c r="F845" s="29" t="str">
        <x:v>Slide 4 of 6. Give a clear answer. Gratitude does not require unlimited access, obligation, or surrendering your boundaries.</x:v>
      </x:c>
      <x:c r="G845" s="29" t="str">
        <x:v>editorial</x:v>
      </x:c>
      <x:c r="H845" s="29" t="str">
        <x:v>Draft — owner review</x:v>
      </x:c>
    </x:row>
    <x:row r="846" ht="84" customHeight="1">
      <x:c r="A846" s="29" t="str">
        <x:v>BTB-141</x:v>
      </x:c>
      <x:c r="B846" s="62" t="n">
        <x:v>46463</x:v>
      </x:c>
      <x:c r="C846" s="64" t="str">
        <x:v>P4</x:v>
      </x:c>
      <x:c r="D846" s="64" t="n">
        <x:v>5</x:v>
      </x:c>
      <x:c r="E846" s="29" t="str">
        <x:v>Helpful support should not become a hidden contract you are pressured to repay with your freedom.</x:v>
      </x:c>
      <x:c r="F846" s="29" t="str">
        <x:v>Slide 5 of 6. Helpful support should not become a hidden contract you are pressured to repay with your freedom.</x:v>
      </x:c>
      <x:c r="G846" s="29" t="str">
        <x:v>editorial</x:v>
      </x:c>
      <x:c r="H846" s="29" t="str">
        <x:v>Draft — owner review</x:v>
      </x:c>
    </x:row>
    <x:row r="847" ht="84" customHeight="1">
      <x:c r="A847" s="29" t="str">
        <x:v>BTB-141</x:v>
      </x:c>
      <x:c r="B847" s="62" t="n">
        <x:v>46463</x:v>
      </x:c>
      <x:c r="C847" s="64" t="str">
        <x:v>P4</x:v>
      </x:c>
      <x:c r="D847" s="64" t="n">
        <x:v>6</x:v>
      </x:c>
      <x:c r="E847" s="29" t="str">
        <x:v>Send this to someone who has learned to carry everything without asking whether they still need to.</x:v>
      </x:c>
      <x:c r="F847" s="29" t="str">
        <x:v>Slide 6 of 6. Send this to someone who has learned to carry everything without asking whether they still need to.</x:v>
      </x:c>
      <x:c r="G847" s="29" t="str">
        <x:v>editorial</x:v>
      </x:c>
      <x:c r="H847" s="29" t="str">
        <x:v>Draft — owner review</x:v>
      </x:c>
    </x:row>
    <x:row r="848" ht="84" customHeight="1">
      <x:c r="A848" s="29" t="str">
        <x:v>BTB-142</x:v>
      </x:c>
      <x:c r="B848" s="62" t="n">
        <x:v>46464</x:v>
      </x:c>
      <x:c r="C848" s="64" t="str">
        <x:v>P5</x:v>
      </x:c>
      <x:c r="D848" s="64" t="n">
        <x:v>1</x:v>
      </x:c>
      <x:c r="E848" s="29" t="str">
        <x:v>A project deserves an honest review—not endless rescue attempts.</x:v>
      </x:c>
      <x:c r="F848" s="29" t="str">
        <x:v>Slide 1 of 6. A project deserves an honest review—not endless rescue attempts.</x:v>
      </x:c>
      <x:c r="G848" s="29" t="str">
        <x:v>checklist</x:v>
      </x:c>
      <x:c r="H848" s="29" t="str">
        <x:v>Draft — owner review</x:v>
      </x:c>
    </x:row>
    <x:row r="849" ht="84" customHeight="1">
      <x:c r="A849" s="29" t="str">
        <x:v>BTB-142</x:v>
      </x:c>
      <x:c r="B849" s="62" t="n">
        <x:v>46464</x:v>
      </x:c>
      <x:c r="C849" s="64" t="str">
        <x:v>P5</x:v>
      </x:c>
      <x:c r="D849" s="64" t="n">
        <x:v>2</x:v>
      </x:c>
      <x:c r="E849" s="29" t="str">
        <x:v>Time and money already spent can make it difficult to ask whether the next commitment still makes sense.</x:v>
      </x:c>
      <x:c r="F849" s="29" t="str">
        <x:v>Slide 2 of 6. Time and money already spent can make it difficult to ask whether the next commitment still makes sense.</x:v>
      </x:c>
      <x:c r="G849" s="29" t="str">
        <x:v>checklist</x:v>
      </x:c>
      <x:c r="H849" s="29" t="str">
        <x:v>Draft — owner review</x:v>
      </x:c>
    </x:row>
    <x:row r="850" ht="84" customHeight="1">
      <x:c r="A850" s="29" t="str">
        <x:v>BTB-142</x:v>
      </x:c>
      <x:c r="B850" s="62" t="n">
        <x:v>46464</x:v>
      </x:c>
      <x:c r="C850" s="64" t="str">
        <x:v>P5</x:v>
      </x:c>
      <x:c r="D850" s="64" t="n">
        <x:v>3</x:v>
      </x:c>
      <x:c r="E850" s="29" t="str">
        <x:v>Write what you know now: results, remaining costs, responsibilities, and what evidence would justify continuing.</x:v>
      </x:c>
      <x:c r="F850" s="29" t="str">
        <x:v>Slide 3 of 6. Write what you know now: results, remaining costs, responsibilities, and what evidence would justify continuing.</x:v>
      </x:c>
      <x:c r="G850" s="29" t="str">
        <x:v>checklist</x:v>
      </x:c>
      <x:c r="H850" s="29" t="str">
        <x:v>Draft — owner review</x:v>
      </x:c>
    </x:row>
    <x:row r="851" ht="84" customHeight="1">
      <x:c r="A851" s="29" t="str">
        <x:v>BTB-142</x:v>
      </x:c>
      <x:c r="B851" s="62" t="n">
        <x:v>46464</x:v>
      </x:c>
      <x:c r="C851" s="64" t="str">
        <x:v>P5</x:v>
      </x:c>
      <x:c r="D851" s="64" t="n">
        <x:v>4</x:v>
      </x:c>
      <x:c r="E851" s="29" t="str">
        <x:v>Consider alternatives, including changing scope or stopping. Get appropriate professional advice for significant financial or contractual decisions.</x:v>
      </x:c>
      <x:c r="F851" s="29" t="str">
        <x:v>Slide 4 of 6. Consider alternatives, including changing scope or stopping. Get appropriate professional advice for significant financial or contractual decisions.</x:v>
      </x:c>
      <x:c r="G851" s="29" t="str">
        <x:v>checklist</x:v>
      </x:c>
      <x:c r="H851" s="29" t="str">
        <x:v>Draft — owner review</x:v>
      </x:c>
    </x:row>
    <x:row r="852" ht="84" customHeight="1">
      <x:c r="A852" s="29" t="str">
        <x:v>BTB-142</x:v>
      </x:c>
      <x:c r="B852" s="62" t="n">
        <x:v>46464</x:v>
      </x:c>
      <x:c r="C852" s="64" t="str">
        <x:v>P5</x:v>
      </x:c>
      <x:c r="D852" s="64" t="n">
        <x:v>5</x:v>
      </x:c>
      <x:c r="E852" s="29" t="str">
        <x:v>Do not call a decision failure simply because it differs from the original plan.</x:v>
      </x:c>
      <x:c r="F852" s="29" t="str">
        <x:v>Slide 5 of 6. Do not call a decision failure simply because it differs from the original plan.</x:v>
      </x:c>
      <x:c r="G852" s="29" t="str">
        <x:v>checklist</x:v>
      </x:c>
      <x:c r="H852" s="29" t="str">
        <x:v>Draft — owner review</x:v>
      </x:c>
    </x:row>
    <x:row r="853" ht="84" customHeight="1">
      <x:c r="A853" s="29" t="str">
        <x:v>BTB-142</x:v>
      </x:c>
      <x:c r="B853" s="62" t="n">
        <x:v>46464</x:v>
      </x:c>
      <x:c r="C853" s="64" t="str">
        <x:v>P5</x:v>
      </x:c>
      <x:c r="D853" s="64" t="n">
        <x:v>6</x:v>
      </x:c>
      <x:c r="E853" s="29" t="str">
        <x:v>Save this for a project that has become a test of your identity instead of a decision.</x:v>
      </x:c>
      <x:c r="F853" s="29" t="str">
        <x:v>Slide 6 of 6. Save this for a project that has become a test of your identity instead of a decision.</x:v>
      </x:c>
      <x:c r="G853" s="29" t="str">
        <x:v>checklist</x:v>
      </x:c>
      <x:c r="H853" s="29" t="str">
        <x:v>Draft — owner review</x:v>
      </x:c>
    </x:row>
    <x:row r="854" ht="84" customHeight="1">
      <x:c r="A854" s="29" t="str">
        <x:v>BTB-143</x:v>
      </x:c>
      <x:c r="B854" s="62" t="n">
        <x:v>46465</x:v>
      </x:c>
      <x:c r="C854" s="64" t="str">
        <x:v>P1</x:v>
      </x:c>
      <x:c r="D854" s="64" t="n">
        <x:v>1</x:v>
      </x:c>
      <x:c r="E854" s="29" t="str">
        <x:v>Ambition can be a direction without becoming an escape route.</x:v>
      </x:c>
      <x:c r="F854" s="29" t="str">
        <x:v>Slide 1 of 6. Ambition can be a direction without becoming an escape route.</x:v>
      </x:c>
      <x:c r="G854" s="29" t="str">
        <x:v>contrast</x:v>
      </x:c>
      <x:c r="H854" s="29" t="str">
        <x:v>Draft — owner review</x:v>
      </x:c>
    </x:row>
    <x:row r="855" ht="84" customHeight="1">
      <x:c r="A855" s="29" t="str">
        <x:v>BTB-143</x:v>
      </x:c>
      <x:c r="B855" s="62" t="n">
        <x:v>46465</x:v>
      </x:c>
      <x:c r="C855" s="64" t="str">
        <x:v>P1</x:v>
      </x:c>
      <x:c r="D855" s="64" t="n">
        <x:v>2</x:v>
      </x:c>
      <x:c r="E855" s="29" t="str">
        <x:v>A new goal may be meaningful. It may also be carrying the hope that achievement will settle every painful feeling.</x:v>
      </x:c>
      <x:c r="F855" s="29" t="str">
        <x:v>Slide 2 of 6. A new goal may be meaningful. It may also be carrying the hope that achievement will settle every painful feeling.</x:v>
      </x:c>
      <x:c r="G855" s="29" t="str">
        <x:v>contrast</x:v>
      </x:c>
      <x:c r="H855" s="29" t="str">
        <x:v>Draft — owner review</x:v>
      </x:c>
    </x:row>
    <x:row r="856" ht="84" customHeight="1">
      <x:c r="A856" s="29" t="str">
        <x:v>BTB-143</x:v>
      </x:c>
      <x:c r="B856" s="62" t="n">
        <x:v>46465</x:v>
      </x:c>
      <x:c r="C856" s="64" t="str">
        <x:v>P1</x:v>
      </x:c>
      <x:c r="D856" s="64" t="n">
        <x:v>3</x:v>
      </x:c>
      <x:c r="E856" s="29" t="str">
        <x:v>Ask what the goal can realistically change and what it cannot.</x:v>
      </x:c>
      <x:c r="F856" s="29" t="str">
        <x:v>Slide 3 of 6. Ask what the goal can realistically change and what it cannot.</x:v>
      </x:c>
      <x:c r="G856" s="29" t="str">
        <x:v>contrast</x:v>
      </x:c>
      <x:c r="H856" s="29" t="str">
        <x:v>Draft — owner review</x:v>
      </x:c>
    </x:row>
    <x:row r="857" ht="84" customHeight="1">
      <x:c r="A857" s="29" t="str">
        <x:v>BTB-143</x:v>
      </x:c>
      <x:c r="B857" s="62" t="n">
        <x:v>46465</x:v>
      </x:c>
      <x:c r="C857" s="64" t="str">
        <x:v>P1</x:v>
      </x:c>
      <x:c r="D857" s="64" t="n">
        <x:v>4</x:v>
      </x:c>
      <x:c r="E857" s="29" t="str">
        <x:v>Make room for the practical work and for support with the parts success would not automatically resolve.</x:v>
      </x:c>
      <x:c r="F857" s="29" t="str">
        <x:v>Slide 4 of 6. Make room for the practical work and for support with the parts success would not automatically resolve.</x:v>
      </x:c>
      <x:c r="G857" s="29" t="str">
        <x:v>contrast</x:v>
      </x:c>
      <x:c r="H857" s="29" t="str">
        <x:v>Draft — owner review</x:v>
      </x:c>
    </x:row>
    <x:row r="858" ht="84" customHeight="1">
      <x:c r="A858" s="29" t="str">
        <x:v>BTB-143</x:v>
      </x:c>
      <x:c r="B858" s="62" t="n">
        <x:v>46465</x:v>
      </x:c>
      <x:c r="C858" s="64" t="str">
        <x:v>P1</x:v>
      </x:c>
      <x:c r="D858" s="64" t="n">
        <x:v>5</x:v>
      </x:c>
      <x:c r="E858" s="29" t="str">
        <x:v>You do not need to abandon ambition. You can stop asking one outcome to repair your whole life.</x:v>
      </x:c>
      <x:c r="F858" s="29" t="str">
        <x:v>Slide 5 of 6. You do not need to abandon ambition. You can stop asking one outcome to repair your whole life.</x:v>
      </x:c>
      <x:c r="G858" s="29" t="str">
        <x:v>contrast</x:v>
      </x:c>
      <x:c r="H858" s="29" t="str">
        <x:v>Draft — owner review</x:v>
      </x:c>
    </x:row>
    <x:row r="859" ht="84" customHeight="1">
      <x:c r="A859" s="29" t="str">
        <x:v>BTB-143</x:v>
      </x:c>
      <x:c r="B859" s="62" t="n">
        <x:v>46465</x:v>
      </x:c>
      <x:c r="C859" s="64" t="str">
        <x:v>P1</x:v>
      </x:c>
      <x:c r="D859" s="64" t="n">
        <x:v>6</x:v>
      </x:c>
      <x:c r="E859" s="29" t="str">
        <x:v>Share this with someone building something important while carrying more than the project can solve.</x:v>
      </x:c>
      <x:c r="F859" s="29" t="str">
        <x:v>Slide 6 of 6. Share this with someone building something important while carrying more than the project can solve.</x:v>
      </x:c>
      <x:c r="G859" s="29" t="str">
        <x:v>contrast</x:v>
      </x:c>
      <x:c r="H859" s="29" t="str">
        <x:v>Draft — owner review</x:v>
      </x:c>
    </x:row>
    <x:row r="860" ht="84" customHeight="1">
      <x:c r="A860" s="29" t="str">
        <x:v>BTB-144</x:v>
      </x:c>
      <x:c r="B860" s="62" t="n">
        <x:v>46466</x:v>
      </x:c>
      <x:c r="C860" s="64" t="str">
        <x:v>P2</x:v>
      </x:c>
      <x:c r="D860" s="64" t="n">
        <x:v>1</x:v>
      </x:c>
      <x:c r="E860" s="29" t="str">
        <x:v>Make room for an interest that does not have to become income.</x:v>
      </x:c>
      <x:c r="F860" s="29" t="str">
        <x:v>Slide 1 of 6. Make room for an interest that does not have to become income.</x:v>
      </x:c>
      <x:c r="G860" s="29" t="str">
        <x:v>checklist</x:v>
      </x:c>
      <x:c r="H860" s="29" t="str">
        <x:v>Draft — owner review</x:v>
      </x:c>
    </x:row>
    <x:row r="861" ht="84" customHeight="1">
      <x:c r="A861" s="29" t="str">
        <x:v>BTB-144</x:v>
      </x:c>
      <x:c r="B861" s="62" t="n">
        <x:v>46466</x:v>
      </x:c>
      <x:c r="C861" s="64" t="str">
        <x:v>P2</x:v>
      </x:c>
      <x:c r="D861" s="64" t="n">
        <x:v>2</x:v>
      </x:c>
      <x:c r="E861" s="29" t="str">
        <x:v>During a financial or personal rebuild, even enjoyment can start feeling like something that must justify itself.</x:v>
      </x:c>
      <x:c r="F861" s="29" t="str">
        <x:v>Slide 2 of 6. During a financial or personal rebuild, even enjoyment can start feeling like something that must justify itself.</x:v>
      </x:c>
      <x:c r="G861" s="29" t="str">
        <x:v>checklist</x:v>
      </x:c>
      <x:c r="H861" s="29" t="str">
        <x:v>Draft — owner review</x:v>
      </x:c>
    </x:row>
    <x:row r="862" ht="84" customHeight="1">
      <x:c r="A862" s="29" t="str">
        <x:v>BTB-144</x:v>
      </x:c>
      <x:c r="B862" s="62" t="n">
        <x:v>46466</x:v>
      </x:c>
      <x:c r="C862" s="64" t="str">
        <x:v>P2</x:v>
      </x:c>
      <x:c r="D862" s="64" t="n">
        <x:v>3</x:v>
      </x:c>
      <x:c r="E862" s="29" t="str">
        <x:v>Choose a small, affordable activity you are curious about or once enjoyed.</x:v>
      </x:c>
      <x:c r="F862" s="29" t="str">
        <x:v>Slide 3 of 6. Choose a small, affordable activity you are curious about or once enjoyed.</x:v>
      </x:c>
      <x:c r="G862" s="29" t="str">
        <x:v>checklist</x:v>
      </x:c>
      <x:c r="H862" s="29" t="str">
        <x:v>Draft — owner review</x:v>
      </x:c>
    </x:row>
    <x:row r="863" ht="84" customHeight="1">
      <x:c r="A863" s="29" t="str">
        <x:v>BTB-144</x:v>
      </x:c>
      <x:c r="B863" s="62" t="n">
        <x:v>46466</x:v>
      </x:c>
      <x:c r="C863" s="64" t="str">
        <x:v>P2</x:v>
      </x:c>
      <x:c r="D863" s="64" t="n">
        <x:v>4</x:v>
      </x:c>
      <x:c r="E863" s="29" t="str">
        <x:v>Let the first attempt be an experience, not a performance review or a plan to become exceptional at it.</x:v>
      </x:c>
      <x:c r="F863" s="29" t="str">
        <x:v>Slide 4 of 6. Let the first attempt be an experience, not a performance review or a plan to become exceptional at it.</x:v>
      </x:c>
      <x:c r="G863" s="29" t="str">
        <x:v>checklist</x:v>
      </x:c>
      <x:c r="H863" s="29" t="str">
        <x:v>Draft — owner review</x:v>
      </x:c>
    </x:row>
    <x:row r="864" ht="84" customHeight="1">
      <x:c r="A864" s="29" t="str">
        <x:v>BTB-144</x:v>
      </x:c>
      <x:c r="B864" s="62" t="n">
        <x:v>46466</x:v>
      </x:c>
      <x:c r="C864" s="64" t="str">
        <x:v>P2</x:v>
      </x:c>
      <x:c r="D864" s="64" t="n">
        <x:v>5</x:v>
      </x:c>
      <x:c r="E864" s="29" t="str">
        <x:v>Keep it within your actual time and resources. Meaning does not need to come with another obligation.</x:v>
      </x:c>
      <x:c r="F864" s="29" t="str">
        <x:v>Slide 5 of 6. Keep it within your actual time and resources. Meaning does not need to come with another obligation.</x:v>
      </x:c>
      <x:c r="G864" s="29" t="str">
        <x:v>checklist</x:v>
      </x:c>
      <x:c r="H864" s="29" t="str">
        <x:v>Draft — owner review</x:v>
      </x:c>
    </x:row>
    <x:row r="865" ht="84" customHeight="1">
      <x:c r="A865" s="29" t="str">
        <x:v>BTB-144</x:v>
      </x:c>
      <x:c r="B865" s="62" t="n">
        <x:v>46466</x:v>
      </x:c>
      <x:c r="C865" s="64" t="str">
        <x:v>P2</x:v>
      </x:c>
      <x:c r="D865" s="64" t="n">
        <x:v>6</x:v>
      </x:c>
      <x:c r="E865" s="29" t="str">
        <x:v>Save this for the part of you that would like to try something without turning it into a project.</x:v>
      </x:c>
      <x:c r="F865" s="29" t="str">
        <x:v>Slide 6 of 6. Save this for the part of you that would like to try something without turning it into a project.</x:v>
      </x:c>
      <x:c r="G865" s="29" t="str">
        <x:v>checklist</x:v>
      </x:c>
      <x:c r="H865" s="29" t="str">
        <x:v>Draft — owner review</x:v>
      </x:c>
    </x:row>
    <x:row r="866" ht="84" customHeight="1">
      <x:c r="A866" s="29" t="str">
        <x:v>BTB-145</x:v>
      </x:c>
      <x:c r="B866" s="62" t="n">
        <x:v>46467</x:v>
      </x:c>
      <x:c r="C866" s="64" t="str">
        <x:v>P3</x:v>
      </x:c>
      <x:c r="D866" s="64" t="n">
        <x:v>1</x:v>
      </x:c>
      <x:c r="E866" s="29" t="str">
        <x:v>Your adult life should not depend on your child being constantly available.</x:v>
      </x:c>
      <x:c r="F866" s="29" t="str">
        <x:v>Slide 1 of 6. Your adult life should not depend on your child being constantly available.</x:v>
      </x:c>
      <x:c r="G866" s="29" t="str">
        <x:v>editorial</x:v>
      </x:c>
      <x:c r="H866" s="29" t="str">
        <x:v>Draft — owner review</x:v>
      </x:c>
    </x:row>
    <x:row r="867" ht="84" customHeight="1">
      <x:c r="A867" s="29" t="str">
        <x:v>BTB-145</x:v>
      </x:c>
      <x:c r="B867" s="62" t="n">
        <x:v>46467</x:v>
      </x:c>
      <x:c r="C867" s="64" t="str">
        <x:v>P3</x:v>
      </x:c>
      <x:c r="D867" s="64" t="n">
        <x:v>2</x:v>
      </x:c>
      <x:c r="E867" s="29" t="str">
        <x:v>Parenting can be central to your identity without making a child responsible for your only source of connection.</x:v>
      </x:c>
      <x:c r="F867" s="29" t="str">
        <x:v>Slide 2 of 6. Parenting can be central to your identity without making a child responsible for your only source of connection.</x:v>
      </x:c>
      <x:c r="G867" s="29" t="str">
        <x:v>editorial</x:v>
      </x:c>
      <x:c r="H867" s="29" t="str">
        <x:v>Draft — owner review</x:v>
      </x:c>
    </x:row>
    <x:row r="868" ht="84" customHeight="1">
      <x:c r="A868" s="29" t="str">
        <x:v>BTB-145</x:v>
      </x:c>
      <x:c r="B868" s="62" t="n">
        <x:v>46467</x:v>
      </x:c>
      <x:c r="C868" s="64" t="str">
        <x:v>P3</x:v>
      </x:c>
      <x:c r="D868" s="64" t="n">
        <x:v>3</x:v>
      </x:c>
      <x:c r="E868" s="29" t="str">
        <x:v>Build adult support and interests alongside your parenting responsibilities, within the time and resources you have.</x:v>
      </x:c>
      <x:c r="F868" s="29" t="str">
        <x:v>Slide 3 of 6. Build adult support and interests alongside your parenting responsibilities, within the time and resources you have.</x:v>
      </x:c>
      <x:c r="G868" s="29" t="str">
        <x:v>editorial</x:v>
      </x:c>
      <x:c r="H868" s="29" t="str">
        <x:v>Draft — owner review</x:v>
      </x:c>
    </x:row>
    <x:row r="869" ht="84" customHeight="1">
      <x:c r="A869" s="29" t="str">
        <x:v>BTB-145</x:v>
      </x:c>
      <x:c r="B869" s="62" t="n">
        <x:v>46467</x:v>
      </x:c>
      <x:c r="C869" s="64" t="str">
        <x:v>P3</x:v>
      </x:c>
      <x:c r="D869" s="64" t="n">
        <x:v>4</x:v>
      </x:c>
      <x:c r="E869" s="29" t="str">
        <x:v>Let your child have friendships, interests, and ordinary independence appropriate to their age and circumstances.</x:v>
      </x:c>
      <x:c r="F869" s="29" t="str">
        <x:v>Slide 4 of 6. Let your child have friendships, interests, and ordinary independence appropriate to their age and circumstances.</x:v>
      </x:c>
      <x:c r="G869" s="29" t="str">
        <x:v>editorial</x:v>
      </x:c>
      <x:c r="H869" s="29" t="str">
        <x:v>Draft — owner review</x:v>
      </x:c>
    </x:row>
    <x:row r="870" ht="84" customHeight="1">
      <x:c r="A870" s="29" t="str">
        <x:v>BTB-145</x:v>
      </x:c>
      <x:c r="B870" s="62" t="n">
        <x:v>46467</x:v>
      </x:c>
      <x:c r="C870" s="64" t="str">
        <x:v>P3</x:v>
      </x:c>
      <x:c r="D870" s="64" t="n">
        <x:v>5</x:v>
      </x:c>
      <x:c r="E870" s="29" t="str">
        <x:v>Seek qualified guidance if separation or family circumstances make this difficult to navigate safely.</x:v>
      </x:c>
      <x:c r="F870" s="29" t="str">
        <x:v>Slide 5 of 6. Seek qualified guidance if separation or family circumstances make this difficult to navigate safely.</x:v>
      </x:c>
      <x:c r="G870" s="29" t="str">
        <x:v>editorial</x:v>
      </x:c>
      <x:c r="H870" s="29" t="str">
        <x:v>Draft — owner review</x:v>
      </x:c>
    </x:row>
    <x:row r="871" ht="84" customHeight="1">
      <x:c r="A871" s="29" t="str">
        <x:v>BTB-145</x:v>
      </x:c>
      <x:c r="B871" s="62" t="n">
        <x:v>46467</x:v>
      </x:c>
      <x:c r="C871" s="64" t="str">
        <x:v>P3</x:v>
      </x:c>
      <x:c r="D871" s="64" t="n">
        <x:v>6</x:v>
      </x:c>
      <x:c r="E871" s="29" t="str">
        <x:v>Share this reminder: loving your child deeply and building adult support can belong together.</x:v>
      </x:c>
      <x:c r="F871" s="29" t="str">
        <x:v>Slide 6 of 6. Share this reminder: loving your child deeply and building adult support can belong together.</x:v>
      </x:c>
      <x:c r="G871" s="29" t="str">
        <x:v>editorial</x:v>
      </x:c>
      <x:c r="H871" s="29" t="str">
        <x:v>Draft — owner review</x:v>
      </x:c>
    </x:row>
    <x:row r="872" ht="84" customHeight="1">
      <x:c r="A872" s="29" t="str">
        <x:v>BTB-146</x:v>
      </x:c>
      <x:c r="B872" s="62" t="n">
        <x:v>46468</x:v>
      </x:c>
      <x:c r="C872" s="64" t="str">
        <x:v>P4</x:v>
      </x:c>
      <x:c r="D872" s="64" t="n">
        <x:v>1</x:v>
      </x:c>
      <x:c r="E872" s="29" t="str">
        <x:v>You do not have to match someone else's speed of closeness.</x:v>
      </x:c>
      <x:c r="F872" s="29" t="str">
        <x:v>Slide 1 of 6. You do not have to match someone else's speed of closeness.</x:v>
      </x:c>
      <x:c r="G872" s="29" t="str">
        <x:v>contrast</x:v>
      </x:c>
      <x:c r="H872" s="29" t="str">
        <x:v>Draft — owner review</x:v>
      </x:c>
    </x:row>
    <x:row r="873" ht="84" customHeight="1">
      <x:c r="A873" s="29" t="str">
        <x:v>BTB-146</x:v>
      </x:c>
      <x:c r="B873" s="62" t="n">
        <x:v>46468</x:v>
      </x:c>
      <x:c r="C873" s="64" t="str">
        <x:v>P4</x:v>
      </x:c>
      <x:c r="D873" s="64" t="n">
        <x:v>2</x:v>
      </x:c>
      <x:c r="E873" s="29" t="str">
        <x:v>Enjoying a connection does not obligate you to make commitments before you have the information or capacity you need.</x:v>
      </x:c>
      <x:c r="F873" s="29" t="str">
        <x:v>Slide 2 of 6. Enjoying a connection does not obligate you to make commitments before you have the information or capacity you need.</x:v>
      </x:c>
      <x:c r="G873" s="29" t="str">
        <x:v>contrast</x:v>
      </x:c>
      <x:c r="H873" s="29" t="str">
        <x:v>Draft — owner review</x:v>
      </x:c>
    </x:row>
    <x:row r="874" ht="84" customHeight="1">
      <x:c r="A874" s="29" t="str">
        <x:v>BTB-146</x:v>
      </x:c>
      <x:c r="B874" s="62" t="n">
        <x:v>46468</x:v>
      </x:c>
      <x:c r="C874" s="64" t="str">
        <x:v>P4</x:v>
      </x:c>
      <x:c r="D874" s="64" t="n">
        <x:v>3</x:v>
      </x:c>
      <x:c r="E874" s="29" t="str">
        <x:v>Try: “I value getting to know you. I want to move at a pace I can honestly sustain.”</x:v>
      </x:c>
      <x:c r="F874" s="29" t="str">
        <x:v>Slide 3 of 6. Try: “I value getting to know you. I want to move at a pace I can honestly sustain.”</x:v>
      </x:c>
      <x:c r="G874" s="29" t="str">
        <x:v>contrast</x:v>
      </x:c>
      <x:c r="H874" s="29" t="str">
        <x:v>Draft — owner review</x:v>
      </x:c>
    </x:row>
    <x:row r="875" ht="84" customHeight="1">
      <x:c r="A875" s="29" t="str">
        <x:v>BTB-146</x:v>
      </x:c>
      <x:c r="B875" s="62" t="n">
        <x:v>46468</x:v>
      </x:c>
      <x:c r="C875" s="64" t="str">
        <x:v>P4</x:v>
      </x:c>
      <x:c r="D875" s="64" t="n">
        <x:v>4</x:v>
      </x:c>
      <x:c r="E875" s="29" t="str">
        <x:v>Listen to their needs too. Different preferences may need discussion, not a winner and a loser.</x:v>
      </x:c>
      <x:c r="F875" s="29" t="str">
        <x:v>Slide 4 of 6. Listen to their needs too. Different preferences may need discussion, not a winner and a loser.</x:v>
      </x:c>
      <x:c r="G875" s="29" t="str">
        <x:v>contrast</x:v>
      </x:c>
      <x:c r="H875" s="29" t="str">
        <x:v>Draft — owner review</x:v>
      </x:c>
    </x:row>
    <x:row r="876" ht="84" customHeight="1">
      <x:c r="A876" s="29" t="str">
        <x:v>BTB-146</x:v>
      </x:c>
      <x:c r="B876" s="62" t="n">
        <x:v>46468</x:v>
      </x:c>
      <x:c r="C876" s="64" t="str">
        <x:v>P4</x:v>
      </x:c>
      <x:c r="D876" s="64" t="n">
        <x:v>5</x:v>
      </x:c>
      <x:c r="E876" s="29" t="str">
        <x:v>Pressure, threats, or demands to prove affection deserve attention and appropriate support.</x:v>
      </x:c>
      <x:c r="F876" s="29" t="str">
        <x:v>Slide 5 of 6. Pressure, threats, or demands to prove affection deserve attention and appropriate support.</x:v>
      </x:c>
      <x:c r="G876" s="29" t="str">
        <x:v>contrast</x:v>
      </x:c>
      <x:c r="H876" s="29" t="str">
        <x:v>Draft — owner review</x:v>
      </x:c>
    </x:row>
    <x:row r="877" ht="84" customHeight="1">
      <x:c r="A877" s="29" t="str">
        <x:v>BTB-146</x:v>
      </x:c>
      <x:c r="B877" s="62" t="n">
        <x:v>46468</x:v>
      </x:c>
      <x:c r="C877" s="64" t="str">
        <x:v>P4</x:v>
      </x:c>
      <x:c r="D877" s="64" t="n">
        <x:v>6</x:v>
      </x:c>
      <x:c r="E877" s="29" t="str">
        <x:v>Save this for a relationship where pace needs to be a conversation, not a test.</x:v>
      </x:c>
      <x:c r="F877" s="29" t="str">
        <x:v>Slide 6 of 6. Save this for a relationship where pace needs to be a conversation, not a test.</x:v>
      </x:c>
      <x:c r="G877" s="29" t="str">
        <x:v>contrast</x:v>
      </x:c>
      <x:c r="H877" s="29" t="str">
        <x:v>Draft — owner review</x:v>
      </x:c>
    </x:row>
    <x:row r="878" ht="84" customHeight="1">
      <x:c r="A878" s="29" t="str">
        <x:v>BTB-147</x:v>
      </x:c>
      <x:c r="B878" s="62" t="n">
        <x:v>46469</x:v>
      </x:c>
      <x:c r="C878" s="64" t="str">
        <x:v>P5</x:v>
      </x:c>
      <x:c r="D878" s="64" t="n">
        <x:v>1</x:v>
      </x:c>
      <x:c r="E878" s="29" t="str">
        <x:v>Ask for one practical thing, not “help with everything.”</x:v>
      </x:c>
      <x:c r="F878" s="29" t="str">
        <x:v>Slide 1 of 6. Ask for one practical thing, not “help with everything.”</x:v>
      </x:c>
      <x:c r="G878" s="29" t="str">
        <x:v>script</x:v>
      </x:c>
      <x:c r="H878" s="29" t="str">
        <x:v>Draft — owner review</x:v>
      </x:c>
    </x:row>
    <x:row r="879" ht="84" customHeight="1">
      <x:c r="A879" s="29" t="str">
        <x:v>BTB-147</x:v>
      </x:c>
      <x:c r="B879" s="62" t="n">
        <x:v>46469</x:v>
      </x:c>
      <x:c r="C879" s="64" t="str">
        <x:v>P5</x:v>
      </x:c>
      <x:c r="D879" s="64" t="n">
        <x:v>2</x:v>
      </x:c>
      <x:c r="E879" s="29" t="str">
        <x:v>When you are overloaded, even explaining the problem can feel like another job.</x:v>
      </x:c>
      <x:c r="F879" s="29" t="str">
        <x:v>Slide 2 of 6. When you are overloaded, even explaining the problem can feel like another job.</x:v>
      </x:c>
      <x:c r="G879" s="29" t="str">
        <x:v>script</x:v>
      </x:c>
      <x:c r="H879" s="29" t="str">
        <x:v>Draft — owner review</x:v>
      </x:c>
    </x:row>
    <x:row r="880" ht="84" customHeight="1">
      <x:c r="A880" s="29" t="str">
        <x:v>BTB-147</x:v>
      </x:c>
      <x:c r="B880" s="62" t="n">
        <x:v>46469</x:v>
      </x:c>
      <x:c r="C880" s="64" t="str">
        <x:v>P5</x:v>
      </x:c>
      <x:c r="D880" s="64" t="n">
        <x:v>3</x:v>
      </x:c>
      <x:c r="E880" s="29" t="str">
        <x:v>Choose a concrete request: “Could you help me compare these two options?” or “Could you sit with me while I organise this?”</x:v>
      </x:c>
      <x:c r="F880" s="29" t="str">
        <x:v>Slide 3 of 6. Choose a concrete request: “Could you help me compare these two options?” or “Could you sit with me while I organise this?”</x:v>
      </x:c>
      <x:c r="G880" s="29" t="str">
        <x:v>script</x:v>
      </x:c>
      <x:c r="H880" s="29" t="str">
        <x:v>Draft — owner review</x:v>
      </x:c>
    </x:row>
    <x:row r="881" ht="84" customHeight="1">
      <x:c r="A881" s="29" t="str">
        <x:v>BTB-147</x:v>
      </x:c>
      <x:c r="B881" s="62" t="n">
        <x:v>46469</x:v>
      </x:c>
      <x:c r="C881" s="64" t="str">
        <x:v>P5</x:v>
      </x:c>
      <x:c r="D881" s="64" t="n">
        <x:v>4</x:v>
      </x:c>
      <x:c r="E881" s="29" t="str">
        <x:v>Tell the person what the task involves and leave room for them to decline or suggest a limit.</x:v>
      </x:c>
      <x:c r="F881" s="29" t="str">
        <x:v>Slide 4 of 6. Tell the person what the task involves and leave room for them to decline or suggest a limit.</x:v>
      </x:c>
      <x:c r="G881" s="29" t="str">
        <x:v>script</x:v>
      </x:c>
      <x:c r="H881" s="29" t="str">
        <x:v>Draft — owner review</x:v>
      </x:c>
    </x:row>
    <x:row r="882" ht="84" customHeight="1">
      <x:c r="A882" s="29" t="str">
        <x:v>BTB-147</x:v>
      </x:c>
      <x:c r="B882" s="62" t="n">
        <x:v>46469</x:v>
      </x:c>
      <x:c r="C882" s="64" t="str">
        <x:v>P5</x:v>
      </x:c>
      <x:c r="D882" s="64" t="n">
        <x:v>5</x:v>
      </x:c>
      <x:c r="E882" s="29" t="str">
        <x:v>Do not share confidential material unnecessarily. Use qualified help when the task requires it.</x:v>
      </x:c>
      <x:c r="F882" s="29" t="str">
        <x:v>Slide 5 of 6. Do not share confidential material unnecessarily. Use qualified help when the task requires it.</x:v>
      </x:c>
      <x:c r="G882" s="29" t="str">
        <x:v>script</x:v>
      </x:c>
      <x:c r="H882" s="29" t="str">
        <x:v>Draft — owner review</x:v>
      </x:c>
    </x:row>
    <x:row r="883" ht="84" customHeight="1">
      <x:c r="A883" s="29" t="str">
        <x:v>BTB-147</x:v>
      </x:c>
      <x:c r="B883" s="62" t="n">
        <x:v>46469</x:v>
      </x:c>
      <x:c r="C883" s="64" t="str">
        <x:v>P5</x:v>
      </x:c>
      <x:c r="D883" s="64" t="n">
        <x:v>6</x:v>
      </x:c>
      <x:c r="E883" s="29" t="str">
        <x:v>Save this for a moment when the need is real but the request feels too large to make.</x:v>
      </x:c>
      <x:c r="F883" s="29" t="str">
        <x:v>Slide 6 of 6. Save this for a moment when the need is real but the request feels too large to make.</x:v>
      </x:c>
      <x:c r="G883" s="29" t="str">
        <x:v>script</x:v>
      </x:c>
      <x:c r="H883" s="29" t="str">
        <x:v>Draft — owner review</x:v>
      </x:c>
    </x:row>
    <x:row r="884" ht="84" customHeight="1">
      <x:c r="A884" s="29" t="str">
        <x:v>BTB-148</x:v>
      </x:c>
      <x:c r="B884" s="62" t="n">
        <x:v>46470</x:v>
      </x:c>
      <x:c r="C884" s="64" t="str">
        <x:v>P1</x:v>
      </x:c>
      <x:c r="D884" s="64" t="n">
        <x:v>1</x:v>
      </x:c>
      <x:c r="E884" s="29" t="str">
        <x:v>You can change your life without announcing a new version of yourself.</x:v>
      </x:c>
      <x:c r="F884" s="29" t="str">
        <x:v>Slide 1 of 6. You can change your life without announcing a new version of yourself.</x:v>
      </x:c>
      <x:c r="G884" s="29" t="str">
        <x:v>editorial</x:v>
      </x:c>
      <x:c r="H884" s="29" t="str">
        <x:v>Draft — owner review</x:v>
      </x:c>
    </x:row>
    <x:row r="885" ht="84" customHeight="1">
      <x:c r="A885" s="29" t="str">
        <x:v>BTB-148</x:v>
      </x:c>
      <x:c r="B885" s="62" t="n">
        <x:v>46470</x:v>
      </x:c>
      <x:c r="C885" s="64" t="str">
        <x:v>P1</x:v>
      </x:c>
      <x:c r="D885" s="64" t="n">
        <x:v>2</x:v>
      </x:c>
      <x:c r="E885" s="29" t="str">
        <x:v>A quieter decision may feel less convincing because nobody has witnessed it yet.</x:v>
      </x:c>
      <x:c r="F885" s="29" t="str">
        <x:v>Slide 2 of 6. A quieter decision may feel less convincing because nobody has witnessed it yet.</x:v>
      </x:c>
      <x:c r="G885" s="29" t="str">
        <x:v>editorial</x:v>
      </x:c>
      <x:c r="H885" s="29" t="str">
        <x:v>Draft — owner review</x:v>
      </x:c>
    </x:row>
    <x:row r="886" ht="84" customHeight="1">
      <x:c r="A886" s="29" t="str">
        <x:v>BTB-148</x:v>
      </x:c>
      <x:c r="B886" s="62" t="n">
        <x:v>46470</x:v>
      </x:c>
      <x:c r="C886" s="64" t="str">
        <x:v>P1</x:v>
      </x:c>
      <x:c r="D886" s="64" t="n">
        <x:v>3</x:v>
      </x:c>
      <x:c r="E886" s="29" t="str">
        <x:v>You can still make it: set the boundary, attend the appointment, revise the plan, or return to something important.</x:v>
      </x:c>
      <x:c r="F886" s="29" t="str">
        <x:v>Slide 3 of 6. You can still make it: set the boundary, attend the appointment, revise the plan, or return to something important.</x:v>
      </x:c>
      <x:c r="G886" s="29" t="str">
        <x:v>editorial</x:v>
      </x:c>
      <x:c r="H886" s="29" t="str">
        <x:v>Draft — owner review</x:v>
      </x:c>
    </x:row>
    <x:row r="887" ht="84" customHeight="1">
      <x:c r="A887" s="29" t="str">
        <x:v>BTB-148</x:v>
      </x:c>
      <x:c r="B887" s="62" t="n">
        <x:v>46470</x:v>
      </x:c>
      <x:c r="C887" s="64" t="str">
        <x:v>P1</x:v>
      </x:c>
      <x:c r="D887" s="64" t="n">
        <x:v>4</x:v>
      </x:c>
      <x:c r="E887" s="29" t="str">
        <x:v>Share when there is a reason and with the people who need to know.</x:v>
      </x:c>
      <x:c r="F887" s="29" t="str">
        <x:v>Slide 4 of 6. Share when there is a reason and with the people who need to know.</x:v>
      </x:c>
      <x:c r="G887" s="29" t="str">
        <x:v>editorial</x:v>
      </x:c>
      <x:c r="H887" s="29" t="str">
        <x:v>Draft — owner review</x:v>
      </x:c>
    </x:row>
    <x:row r="888" ht="84" customHeight="1">
      <x:c r="A888" s="29" t="str">
        <x:v>BTB-148</x:v>
      </x:c>
      <x:c r="B888" s="62" t="n">
        <x:v>46470</x:v>
      </x:c>
      <x:c r="C888" s="64" t="str">
        <x:v>P1</x:v>
      </x:c>
      <x:c r="D888" s="64" t="n">
        <x:v>5</x:v>
      </x:c>
      <x:c r="E888" s="29" t="str">
        <x:v>Public accountability is optional. Accurate communication about real commitments is not.</x:v>
      </x:c>
      <x:c r="F888" s="29" t="str">
        <x:v>Slide 5 of 6. Public accountability is optional. Accurate communication about real commitments is not.</x:v>
      </x:c>
      <x:c r="G888" s="29" t="str">
        <x:v>editorial</x:v>
      </x:c>
      <x:c r="H888" s="29" t="str">
        <x:v>Draft — owner review</x:v>
      </x:c>
    </x:row>
    <x:row r="889" ht="84" customHeight="1">
      <x:c r="A889" s="29" t="str">
        <x:v>BTB-148</x:v>
      </x:c>
      <x:c r="B889" s="62" t="n">
        <x:v>46470</x:v>
      </x:c>
      <x:c r="C889" s="64" t="str">
        <x:v>P1</x:v>
      </x:c>
      <x:c r="D889" s="64" t="n">
        <x:v>6</x:v>
      </x:c>
      <x:c r="E889" s="29" t="str">
        <x:v>Send this to someone who needs permission to begin privately.</x:v>
      </x:c>
      <x:c r="F889" s="29" t="str">
        <x:v>Slide 6 of 6. Send this to someone who needs permission to begin privately.</x:v>
      </x:c>
      <x:c r="G889" s="29" t="str">
        <x:v>editorial</x:v>
      </x:c>
      <x:c r="H889" s="29" t="str">
        <x:v>Draft — owner review</x:v>
      </x:c>
    </x:row>
    <x:row r="890" ht="84" customHeight="1">
      <x:c r="A890" s="29" t="str">
        <x:v>BTB-149</x:v>
      </x:c>
      <x:c r="B890" s="62" t="n">
        <x:v>46471</x:v>
      </x:c>
      <x:c r="C890" s="64" t="str">
        <x:v>P2</x:v>
      </x:c>
      <x:c r="D890" s="64" t="n">
        <x:v>1</x:v>
      </x:c>
      <x:c r="E890" s="29" t="str">
        <x:v>An anniversary can be difficult even when you were not planning to remember it.</x:v>
      </x:c>
      <x:c r="F890" s="29" t="str">
        <x:v>Slide 1 of 6. An anniversary can be difficult even when you were not planning to remember it.</x:v>
      </x:c>
      <x:c r="G890" s="29" t="str">
        <x:v>checklist</x:v>
      </x:c>
      <x:c r="H890" s="29" t="str">
        <x:v>Draft — owner review</x:v>
      </x:c>
    </x:row>
    <x:row r="891" ht="84" customHeight="1">
      <x:c r="A891" s="29" t="str">
        <x:v>BTB-149</x:v>
      </x:c>
      <x:c r="B891" s="62" t="n">
        <x:v>46471</x:v>
      </x:c>
      <x:c r="C891" s="64" t="str">
        <x:v>P2</x:v>
      </x:c>
      <x:c r="D891" s="64" t="n">
        <x:v>2</x:v>
      </x:c>
      <x:c r="E891" s="29" t="str">
        <x:v>A date, place, or ordinary object may bring an old chapter into the present.</x:v>
      </x:c>
      <x:c r="F891" s="29" t="str">
        <x:v>Slide 2 of 6. A date, place, or ordinary object may bring an old chapter into the present.</x:v>
      </x:c>
      <x:c r="G891" s="29" t="str">
        <x:v>checklist</x:v>
      </x:c>
      <x:c r="H891" s="29" t="str">
        <x:v>Draft — owner review</x:v>
      </x:c>
    </x:row>
    <x:row r="892" ht="84" customHeight="1">
      <x:c r="A892" s="29" t="str">
        <x:v>BTB-149</x:v>
      </x:c>
      <x:c r="B892" s="62" t="n">
        <x:v>46471</x:v>
      </x:c>
      <x:c r="C892" s="64" t="str">
        <x:v>P2</x:v>
      </x:c>
      <x:c r="D892" s="64" t="n">
        <x:v>3</x:v>
      </x:c>
      <x:c r="E892" s="29" t="str">
        <x:v>Notice what has come up without demanding that the day feel a particular way.</x:v>
      </x:c>
      <x:c r="F892" s="29" t="str">
        <x:v>Slide 3 of 6. Notice what has come up without demanding that the day feel a particular way.</x:v>
      </x:c>
      <x:c r="G892" s="29" t="str">
        <x:v>checklist</x:v>
      </x:c>
      <x:c r="H892" s="29" t="str">
        <x:v>Draft — owner review</x:v>
      </x:c>
    </x:row>
    <x:row r="893" ht="84" customHeight="1">
      <x:c r="A893" s="29" t="str">
        <x:v>BTB-149</x:v>
      </x:c>
      <x:c r="B893" s="62" t="n">
        <x:v>46471</x:v>
      </x:c>
      <x:c r="C893" s="64" t="str">
        <x:v>P2</x:v>
      </x:c>
      <x:c r="D893" s="64" t="n">
        <x:v>4</x:v>
      </x:c>
      <x:c r="E893" s="29" t="str">
        <x:v>Consider a manageable plan: company, a familiar task, time outside if suitable, or a conversation with someone supportive.</x:v>
      </x:c>
      <x:c r="F893" s="29" t="str">
        <x:v>Slide 4 of 6. Consider a manageable plan: company, a familiar task, time outside if suitable, or a conversation with someone supportive.</x:v>
      </x:c>
      <x:c r="G893" s="29" t="str">
        <x:v>checklist</x:v>
      </x:c>
      <x:c r="H893" s="29" t="str">
        <x:v>Draft — owner review</x:v>
      </x:c>
    </x:row>
    <x:row r="894" ht="84" customHeight="1">
      <x:c r="A894" s="29" t="str">
        <x:v>BTB-149</x:v>
      </x:c>
      <x:c r="B894" s="62" t="n">
        <x:v>46471</x:v>
      </x:c>
      <x:c r="C894" s="64" t="str">
        <x:v>P2</x:v>
      </x:c>
      <x:c r="D894" s="64" t="n">
        <x:v>5</x:v>
      </x:c>
      <x:c r="E894" s="29" t="str">
        <x:v>If the distress is intense or persistent, seek professional help. You do not have to make the day meaningful by yourself.</x:v>
      </x:c>
      <x:c r="F894" s="29" t="str">
        <x:v>Slide 5 of 6. If the distress is intense or persistent, seek professional help. You do not have to make the day meaningful by yourself.</x:v>
      </x:c>
      <x:c r="G894" s="29" t="str">
        <x:v>checklist</x:v>
      </x:c>
      <x:c r="H894" s="29" t="str">
        <x:v>Draft — owner review</x:v>
      </x:c>
    </x:row>
    <x:row r="895" ht="84" customHeight="1">
      <x:c r="A895" s="29" t="str">
        <x:v>BTB-149</x:v>
      </x:c>
      <x:c r="B895" s="62" t="n">
        <x:v>46471</x:v>
      </x:c>
      <x:c r="C895" s="64" t="str">
        <x:v>P2</x:v>
      </x:c>
      <x:c r="D895" s="64" t="n">
        <x:v>6</x:v>
      </x:c>
      <x:c r="E895" s="29" t="str">
        <x:v>Save this for a date that carries more than the calendar shows.</x:v>
      </x:c>
      <x:c r="F895" s="29" t="str">
        <x:v>Slide 6 of 6. Save this for a date that carries more than the calendar shows.</x:v>
      </x:c>
      <x:c r="G895" s="29" t="str">
        <x:v>checklist</x:v>
      </x:c>
      <x:c r="H895" s="29" t="str">
        <x:v>Draft — owner review</x:v>
      </x:c>
    </x:row>
    <x:row r="896" ht="84" customHeight="1">
      <x:c r="A896" s="29" t="str">
        <x:v>BTB-150</x:v>
      </x:c>
      <x:c r="B896" s="62" t="n">
        <x:v>46472</x:v>
      </x:c>
      <x:c r="C896" s="64" t="str">
        <x:v>P6</x:v>
      </x:c>
      <x:c r="D896" s="64" t="n">
        <x:v>1</x:v>
      </x:c>
      <x:c r="E896" s="29" t="str">
        <x:v>Balanced does not mean nothing hurts.</x:v>
      </x:c>
      <x:c r="F896" s="29" t="str">
        <x:v>Slide 1 of 6. Balanced does not mean nothing hurts.</x:v>
      </x:c>
      <x:c r="G896" s="29" t="str">
        <x:v>letter</x:v>
      </x:c>
      <x:c r="H896" s="29" t="str">
        <x:v>Draft — owner review</x:v>
      </x:c>
    </x:row>
    <x:row r="897" ht="84" customHeight="1">
      <x:c r="A897" s="29" t="str">
        <x:v>BTB-150</x:v>
      </x:c>
      <x:c r="B897" s="62" t="n">
        <x:v>46472</x:v>
      </x:c>
      <x:c r="C897" s="64" t="str">
        <x:v>P6</x:v>
      </x:c>
      <x:c r="D897" s="64" t="n">
        <x:v>2</x:v>
      </x:c>
      <x:c r="E897" s="29" t="str">
        <x:v>For this brand, balance means making room for responsibility, support, reflection, and a life beyond the hardest chapter.</x:v>
      </x:c>
      <x:c r="F897" s="29" t="str">
        <x:v>Slide 2 of 6. For this brand, balance means making room for responsibility, support, reflection, and a life beyond the hardest chapter.</x:v>
      </x:c>
      <x:c r="G897" s="29" t="str">
        <x:v>letter</x:v>
      </x:c>
      <x:c r="H897" s="29" t="str">
        <x:v>Draft — owner review</x:v>
      </x:c>
    </x:row>
    <x:row r="898" ht="84" customHeight="1">
      <x:c r="A898" s="29" t="str">
        <x:v>BTB-150</x:v>
      </x:c>
      <x:c r="B898" s="62" t="n">
        <x:v>46472</x:v>
      </x:c>
      <x:c r="C898" s="64" t="str">
        <x:v>P6</x:v>
      </x:c>
      <x:c r="D898" s="64" t="n">
        <x:v>3</x:v>
      </x:c>
      <x:c r="E898" s="29" t="str">
        <x:v>It is not a diagnosis, a finished state, or a promise that difficult feelings will stop appearing.</x:v>
      </x:c>
      <x:c r="F898" s="29" t="str">
        <x:v>Slide 3 of 6. It is not a diagnosis, a finished state, or a promise that difficult feelings will stop appearing.</x:v>
      </x:c>
      <x:c r="G898" s="29" t="str">
        <x:v>letter</x:v>
      </x:c>
      <x:c r="H898" s="29" t="str">
        <x:v>Draft — owner review</x:v>
      </x:c>
    </x:row>
    <x:row r="899" ht="84" customHeight="1">
      <x:c r="A899" s="29" t="str">
        <x:v>BTB-150</x:v>
      </x:c>
      <x:c r="B899" s="62" t="n">
        <x:v>46472</x:v>
      </x:c>
      <x:c r="C899" s="64" t="str">
        <x:v>P6</x:v>
      </x:c>
      <x:c r="D899" s="64" t="n">
        <x:v>4</x:v>
      </x:c>
      <x:c r="E899" s="29" t="str">
        <x:v>I want the name to point toward the work, not pretend the work is already complete.</x:v>
      </x:c>
      <x:c r="F899" s="29" t="str">
        <x:v>Slide 4 of 6. I want the name to point toward the work, not pretend the work is already complete.</x:v>
      </x:c>
      <x:c r="G899" s="29" t="str">
        <x:v>letter</x:v>
      </x:c>
      <x:c r="H899" s="29" t="str">
        <x:v>Draft — owner review</x:v>
      </x:c>
    </x:row>
    <x:row r="900" ht="84" customHeight="1">
      <x:c r="A900" s="29" t="str">
        <x:v>BTB-150</x:v>
      </x:c>
      <x:c r="B900" s="62" t="n">
        <x:v>46472</x:v>
      </x:c>
      <x:c r="C900" s="64" t="str">
        <x:v>P6</x:v>
      </x:c>
      <x:c r="D900" s="64" t="n">
        <x:v>5</x:v>
      </x:c>
      <x:c r="E900" s="29" t="str">
        <x:v>That leaves room for correction, unfinished questions, and honest decisions about what help is needed.</x:v>
      </x:c>
      <x:c r="F900" s="29" t="str">
        <x:v>Slide 5 of 6. That leaves room for correction, unfinished questions, and honest decisions about what help is needed.</x:v>
      </x:c>
      <x:c r="G900" s="29" t="str">
        <x:v>letter</x:v>
      </x:c>
      <x:c r="H900" s="29" t="str">
        <x:v>Draft — owner review</x:v>
      </x:c>
    </x:row>
    <x:row r="901" ht="84" customHeight="1">
      <x:c r="A901" s="29" t="str">
        <x:v>BTB-150</x:v>
      </x:c>
      <x:c r="B901" s="62" t="n">
        <x:v>46472</x:v>
      </x:c>
      <x:c r="C901" s="64" t="str">
        <x:v>P6</x:v>
      </x:c>
      <x:c r="D901" s="64" t="n">
        <x:v>6</x:v>
      </x:c>
      <x:c r="E901" s="29" t="str">
        <x:v>Follow for a rebuild that can be real without being perfect.</x:v>
      </x:c>
      <x:c r="F901" s="29" t="str">
        <x:v>Slide 6 of 6. Follow for a rebuild that can be real without being perfect.</x:v>
      </x:c>
      <x:c r="G901" s="29" t="str">
        <x:v>letter</x:v>
      </x:c>
      <x:c r="H901" s="29" t="str">
        <x:v>Draft — owner review</x:v>
      </x:c>
    </x:row>
    <x:row r="902" ht="84" customHeight="1">
      <x:c r="A902" s="29" t="str">
        <x:v>BTB-151</x:v>
      </x:c>
      <x:c r="B902" s="62" t="n">
        <x:v>46473</x:v>
      </x:c>
      <x:c r="C902" s="64" t="str">
        <x:v>P1</x:v>
      </x:c>
      <x:c r="D902" s="64" t="n">
        <x:v>1</x:v>
      </x:c>
      <x:c r="E902" s="29" t="str">
        <x:v>Your life can grow while an important question is still unresolved.</x:v>
      </x:c>
      <x:c r="F902" s="29" t="str">
        <x:v>Slide 1 of 6. Your life can grow while an important question is still unresolved.</x:v>
      </x:c>
      <x:c r="G902" s="29" t="str">
        <x:v>editorial</x:v>
      </x:c>
      <x:c r="H902" s="29" t="str">
        <x:v>Draft — owner review</x:v>
      </x:c>
    </x:row>
    <x:row r="903" ht="84" customHeight="1">
      <x:c r="A903" s="29" t="str">
        <x:v>BTB-151</x:v>
      </x:c>
      <x:c r="B903" s="62" t="n">
        <x:v>46473</x:v>
      </x:c>
      <x:c r="C903" s="64" t="str">
        <x:v>P1</x:v>
      </x:c>
      <x:c r="D903" s="64" t="n">
        <x:v>2</x:v>
      </x:c>
      <x:c r="E903" s="29" t="str">
        <x:v>Some processes are slow. Some decisions remain uncertain. That can be genuinely difficult without making every other choice impossible.</x:v>
      </x:c>
      <x:c r="F903" s="29" t="str">
        <x:v>Slide 2 of 6. Some processes are slow. Some decisions remain uncertain. That can be genuinely difficult without making every other choice impossible.</x:v>
      </x:c>
      <x:c r="G903" s="29" t="str">
        <x:v>editorial</x:v>
      </x:c>
      <x:c r="H903" s="29" t="str">
        <x:v>Draft — owner review</x:v>
      </x:c>
    </x:row>
    <x:row r="904" ht="84" customHeight="1">
      <x:c r="A904" s="29" t="str">
        <x:v>BTB-151</x:v>
      </x:c>
      <x:c r="B904" s="62" t="n">
        <x:v>46473</x:v>
      </x:c>
      <x:c r="C904" s="64" t="str">
        <x:v>P1</x:v>
      </x:c>
      <x:c r="D904" s="64" t="n">
        <x:v>3</x:v>
      </x:c>
      <x:c r="E904" s="29" t="str">
        <x:v>Identify what must wait and what does not need the answer to begin.</x:v>
      </x:c>
      <x:c r="F904" s="29" t="str">
        <x:v>Slide 3 of 6. Identify what must wait and what does not need the answer to begin.</x:v>
      </x:c>
      <x:c r="G904" s="29" t="str">
        <x:v>editorial</x:v>
      </x:c>
      <x:c r="H904" s="29" t="str">
        <x:v>Draft — owner review</x:v>
      </x:c>
    </x:row>
    <x:row r="905" ht="84" customHeight="1">
      <x:c r="A905" s="29" t="str">
        <x:v>BTB-151</x:v>
      </x:c>
      <x:c r="B905" s="62" t="n">
        <x:v>46473</x:v>
      </x:c>
      <x:c r="C905" s="64" t="str">
        <x:v>P1</x:v>
      </x:c>
      <x:c r="D905" s="64" t="n">
        <x:v>4</x:v>
      </x:c>
      <x:c r="E905" s="29" t="str">
        <x:v>Keep appropriate follow-up and professional advice in place for the unresolved issue.</x:v>
      </x:c>
      <x:c r="F905" s="29" t="str">
        <x:v>Slide 4 of 6. Keep appropriate follow-up and professional advice in place for the unresolved issue.</x:v>
      </x:c>
      <x:c r="G905" s="29" t="str">
        <x:v>editorial</x:v>
      </x:c>
      <x:c r="H905" s="29" t="str">
        <x:v>Draft — owner review</x:v>
      </x:c>
    </x:row>
    <x:row r="906" ht="84" customHeight="1">
      <x:c r="A906" s="29" t="str">
        <x:v>BTB-151</x:v>
      </x:c>
      <x:c r="B906" s="62" t="n">
        <x:v>46473</x:v>
      </x:c>
      <x:c r="C906" s="64" t="str">
        <x:v>P1</x:v>
      </x:c>
      <x:c r="D906" s="64" t="n">
        <x:v>5</x:v>
      </x:c>
      <x:c r="E906" s="29" t="str">
        <x:v>Give one unrelated part of your life some attention without demanding that it remove the uncertainty.</x:v>
      </x:c>
      <x:c r="F906" s="29" t="str">
        <x:v>Slide 5 of 6. Give one unrelated part of your life some attention without demanding that it remove the uncertainty.</x:v>
      </x:c>
      <x:c r="G906" s="29" t="str">
        <x:v>editorial</x:v>
      </x:c>
      <x:c r="H906" s="29" t="str">
        <x:v>Draft — owner review</x:v>
      </x:c>
    </x:row>
    <x:row r="907" ht="84" customHeight="1">
      <x:c r="A907" s="29" t="str">
        <x:v>BTB-151</x:v>
      </x:c>
      <x:c r="B907" s="62" t="n">
        <x:v>46473</x:v>
      </x:c>
      <x:c r="C907" s="64" t="str">
        <x:v>P1</x:v>
      </x:c>
      <x:c r="D907" s="64" t="n">
        <x:v>6</x:v>
      </x:c>
      <x:c r="E907" s="29" t="str">
        <x:v>Share this with someone who has put their whole life on hold for one answer.</x:v>
      </x:c>
      <x:c r="F907" s="29" t="str">
        <x:v>Slide 6 of 6. Share this with someone who has put their whole life on hold for one answer.</x:v>
      </x:c>
      <x:c r="G907" s="29" t="str">
        <x:v>editorial</x:v>
      </x:c>
      <x:c r="H907" s="29" t="str">
        <x:v>Draft — owner review</x:v>
      </x:c>
    </x:row>
    <x:row r="908" ht="84" customHeight="1">
      <x:c r="A908" s="29" t="str">
        <x:v>BTB-152</x:v>
      </x:c>
      <x:c r="B908" s="62" t="n">
        <x:v>46474</x:v>
      </x:c>
      <x:c r="C908" s="64" t="str">
        <x:v>P2</x:v>
      </x:c>
      <x:c r="D908" s="64" t="n">
        <x:v>1</x:v>
      </x:c>
      <x:c r="E908" s="29" t="str">
        <x:v>The difficult email arrived. You do not have to become the email.</x:v>
      </x:c>
      <x:c r="F908" s="29" t="str">
        <x:v>Slide 1 of 6. The difficult email arrived. You do not have to become the email.</x:v>
      </x:c>
      <x:c r="G908" s="29" t="str">
        <x:v>checklist</x:v>
      </x:c>
      <x:c r="H908" s="29" t="str">
        <x:v>Draft — owner review</x:v>
      </x:c>
    </x:row>
    <x:row r="909" ht="84" customHeight="1">
      <x:c r="A909" s="29" t="str">
        <x:v>BTB-152</x:v>
      </x:c>
      <x:c r="B909" s="62" t="n">
        <x:v>46474</x:v>
      </x:c>
      <x:c r="C909" s="64" t="str">
        <x:v>P2</x:v>
      </x:c>
      <x:c r="D909" s="64" t="n">
        <x:v>2</x:v>
      </x:c>
      <x:c r="E909" s="29" t="str">
        <x:v>A message can need attention without becoming the only thing that exists for the rest of the day.</x:v>
      </x:c>
      <x:c r="F909" s="29" t="str">
        <x:v>Slide 2 of 6. A message can need attention without becoming the only thing that exists for the rest of the day.</x:v>
      </x:c>
      <x:c r="G909" s="29" t="str">
        <x:v>checklist</x:v>
      </x:c>
      <x:c r="H909" s="29" t="str">
        <x:v>Draft — owner review</x:v>
      </x:c>
    </x:row>
    <x:row r="910" ht="84" customHeight="1">
      <x:c r="A910" s="29" t="str">
        <x:v>BTB-152</x:v>
      </x:c>
      <x:c r="B910" s="62" t="n">
        <x:v>46474</x:v>
      </x:c>
      <x:c r="C910" s="64" t="str">
        <x:v>P2</x:v>
      </x:c>
      <x:c r="D910" s="64" t="n">
        <x:v>3</x:v>
      </x:c>
      <x:c r="E910" s="29" t="str">
        <x:v>Identify urgency, the action required, and who is qualified to help you understand it.</x:v>
      </x:c>
      <x:c r="F910" s="29" t="str">
        <x:v>Slide 3 of 6. Identify urgency, the action required, and who is qualified to help you understand it.</x:v>
      </x:c>
      <x:c r="G910" s="29" t="str">
        <x:v>checklist</x:v>
      </x:c>
      <x:c r="H910" s="29" t="str">
        <x:v>Draft — owner review</x:v>
      </x:c>
    </x:row>
    <x:row r="911" ht="84" customHeight="1">
      <x:c r="A911" s="29" t="str">
        <x:v>BTB-152</x:v>
      </x:c>
      <x:c r="B911" s="62" t="n">
        <x:v>46474</x:v>
      </x:c>
      <x:c r="C911" s="64" t="str">
        <x:v>P2</x:v>
      </x:c>
      <x:c r="D911" s="64" t="n">
        <x:v>4</x:v>
      </x:c>
      <x:c r="E911" s="29" t="str">
        <x:v>Preserve what needs to be preserved. Do not rush a serious response simply to stop feeling unsettled.</x:v>
      </x:c>
      <x:c r="F911" s="29" t="str">
        <x:v>Slide 4 of 6. Preserve what needs to be preserved. Do not rush a serious response simply to stop feeling unsettled.</x:v>
      </x:c>
      <x:c r="G911" s="29" t="str">
        <x:v>checklist</x:v>
      </x:c>
      <x:c r="H911" s="29" t="str">
        <x:v>Draft — owner review</x:v>
      </x:c>
    </x:row>
    <x:row r="912" ht="84" customHeight="1">
      <x:c r="A912" s="29" t="str">
        <x:v>BTB-152</x:v>
      </x:c>
      <x:c r="B912" s="62" t="n">
        <x:v>46474</x:v>
      </x:c>
      <x:c r="C912" s="64" t="str">
        <x:v>P2</x:v>
      </x:c>
      <x:c r="D912" s="64" t="n">
        <x:v>5</x:v>
      </x:c>
      <x:c r="E912" s="29" t="str">
        <x:v>Once the next step is clear, return to another necessary part of the day where possible.</x:v>
      </x:c>
      <x:c r="F912" s="29" t="str">
        <x:v>Slide 5 of 6. Once the next step is clear, return to another necessary part of the day where possible.</x:v>
      </x:c>
      <x:c r="G912" s="29" t="str">
        <x:v>checklist</x:v>
      </x:c>
      <x:c r="H912" s="29" t="str">
        <x:v>Draft — owner review</x:v>
      </x:c>
    </x:row>
    <x:row r="913" ht="84" customHeight="1">
      <x:c r="A913" s="29" t="str">
        <x:v>BTB-152</x:v>
      </x:c>
      <x:c r="B913" s="62" t="n">
        <x:v>46474</x:v>
      </x:c>
      <x:c r="C913" s="64" t="str">
        <x:v>P2</x:v>
      </x:c>
      <x:c r="D913" s="64" t="n">
        <x:v>6</x:v>
      </x:c>
      <x:c r="E913" s="29" t="str">
        <x:v>Save this for a message that makes the whole day feel suddenly smaller.</x:v>
      </x:c>
      <x:c r="F913" s="29" t="str">
        <x:v>Slide 6 of 6. Save this for a message that makes the whole day feel suddenly smaller.</x:v>
      </x:c>
      <x:c r="G913" s="29" t="str">
        <x:v>checklist</x:v>
      </x:c>
      <x:c r="H913" s="29" t="str">
        <x:v>Draft — owner review</x:v>
      </x:c>
    </x:row>
    <x:row r="914" ht="84" customHeight="1">
      <x:c r="A914" s="29" t="str">
        <x:v>BTB-153</x:v>
      </x:c>
      <x:c r="B914" s="62" t="n">
        <x:v>46475</x:v>
      </x:c>
      <x:c r="C914" s="64" t="str">
        <x:v>P3</x:v>
      </x:c>
      <x:c r="D914" s="64" t="n">
        <x:v>1</x:v>
      </x:c>
      <x:c r="E914" s="29" t="str">
        <x:v>Plan the hour after the handover—not only the handover.</x:v>
      </x:c>
      <x:c r="F914" s="29" t="str">
        <x:v>Slide 1 of 6. Plan the hour after the handover—not only the handover.</x:v>
      </x:c>
      <x:c r="G914" s="29" t="str">
        <x:v>checklist</x:v>
      </x:c>
      <x:c r="H914" s="29" t="str">
        <x:v>Draft — owner review</x:v>
      </x:c>
    </x:row>
    <x:row r="915" ht="84" customHeight="1">
      <x:c r="A915" s="29" t="str">
        <x:v>BTB-153</x:v>
      </x:c>
      <x:c r="B915" s="62" t="n">
        <x:v>46475</x:v>
      </x:c>
      <x:c r="C915" s="64" t="str">
        <x:v>P3</x:v>
      </x:c>
      <x:c r="D915" s="64" t="n">
        <x:v>2</x:v>
      </x:c>
      <x:c r="E915" s="29" t="str">
        <x:v>The practical transition may be complete while your own evening still feels unsettled.</x:v>
      </x:c>
      <x:c r="F915" s="29" t="str">
        <x:v>Slide 2 of 6. The practical transition may be complete while your own evening still feels unsettled.</x:v>
      </x:c>
      <x:c r="G915" s="29" t="str">
        <x:v>checklist</x:v>
      </x:c>
      <x:c r="H915" s="29" t="str">
        <x:v>Draft — owner review</x:v>
      </x:c>
    </x:row>
    <x:row r="916" ht="84" customHeight="1">
      <x:c r="A916" s="29" t="str">
        <x:v>BTB-153</x:v>
      </x:c>
      <x:c r="B916" s="62" t="n">
        <x:v>46475</x:v>
      </x:c>
      <x:c r="C916" s="64" t="str">
        <x:v>P3</x:v>
      </x:c>
      <x:c r="D916" s="64" t="n">
        <x:v>3</x:v>
      </x:c>
      <x:c r="E916" s="29" t="str">
        <x:v>Follow the arrangements that apply. Then have a simple adult plan for what comes next.</x:v>
      </x:c>
      <x:c r="F916" s="29" t="str">
        <x:v>Slide 3 of 6. Follow the arrangements that apply. Then have a simple adult plan for what comes next.</x:v>
      </x:c>
      <x:c r="G916" s="29" t="str">
        <x:v>checklist</x:v>
      </x:c>
      <x:c r="H916" s="29" t="str">
        <x:v>Draft — owner review</x:v>
      </x:c>
    </x:row>
    <x:row r="917" ht="84" customHeight="1">
      <x:c r="A917" s="29" t="str">
        <x:v>BTB-153</x:v>
      </x:c>
      <x:c r="B917" s="62" t="n">
        <x:v>46475</x:v>
      </x:c>
      <x:c r="C917" s="64" t="str">
        <x:v>P3</x:v>
      </x:c>
      <x:c r="D917" s="64" t="n">
        <x:v>4</x:v>
      </x:c>
      <x:c r="E917" s="29" t="str">
        <x:v>It could be a meal, a task, a call, or time with a trusted person. Choose what is realistic for you.</x:v>
      </x:c>
      <x:c r="F917" s="29" t="str">
        <x:v>Slide 4 of 6. It could be a meal, a task, a call, or time with a trusted person. Choose what is realistic for you.</x:v>
      </x:c>
      <x:c r="G917" s="29" t="str">
        <x:v>checklist</x:v>
      </x:c>
      <x:c r="H917" s="29" t="str">
        <x:v>Draft — owner review</x:v>
      </x:c>
    </x:row>
    <x:row r="918" ht="84" customHeight="1">
      <x:c r="A918" s="29" t="str">
        <x:v>BTB-153</x:v>
      </x:c>
      <x:c r="B918" s="62" t="n">
        <x:v>46475</x:v>
      </x:c>
      <x:c r="C918" s="64" t="str">
        <x:v>P3</x:v>
      </x:c>
      <x:c r="D918" s="64" t="n">
        <x:v>5</x:v>
      </x:c>
      <x:c r="E918" s="29" t="str">
        <x:v>Do not make your child responsible for soothing the feelings around the transition. Seek support when you need more help.</x:v>
      </x:c>
      <x:c r="F918" s="29" t="str">
        <x:v>Slide 5 of 6. Do not make your child responsible for soothing the feelings around the transition. Seek support when you need more help.</x:v>
      </x:c>
      <x:c r="G918" s="29" t="str">
        <x:v>checklist</x:v>
      </x:c>
      <x:c r="H918" s="29" t="str">
        <x:v>Draft — owner review</x:v>
      </x:c>
    </x:row>
    <x:row r="919" ht="84" customHeight="1">
      <x:c r="A919" s="29" t="str">
        <x:v>BTB-153</x:v>
      </x:c>
      <x:c r="B919" s="62" t="n">
        <x:v>46475</x:v>
      </x:c>
      <x:c r="C919" s="64" t="str">
        <x:v>P3</x:v>
      </x:c>
      <x:c r="D919" s="64" t="n">
        <x:v>6</x:v>
      </x:c>
      <x:c r="E919" s="29" t="str">
        <x:v>Save this for a day when the quiet after the logistics needs attention too.</x:v>
      </x:c>
      <x:c r="F919" s="29" t="str">
        <x:v>Slide 6 of 6. Save this for a day when the quiet after the logistics needs attention too.</x:v>
      </x:c>
      <x:c r="G919" s="29" t="str">
        <x:v>checklist</x:v>
      </x:c>
      <x:c r="H919" s="29" t="str">
        <x:v>Draft — owner review</x:v>
      </x:c>
    </x:row>
    <x:row r="920" ht="84" customHeight="1">
      <x:c r="A920" s="29" t="str">
        <x:v>BTB-154</x:v>
      </x:c>
      <x:c r="B920" s="62" t="n">
        <x:v>46476</x:v>
      </x:c>
      <x:c r="C920" s="64" t="str">
        <x:v>P4</x:v>
      </x:c>
      <x:c r="D920" s="64" t="n">
        <x:v>1</x:v>
      </x:c>
      <x:c r="E920" s="29" t="str">
        <x:v>Trusting yourself does not mean being certain every time.</x:v>
      </x:c>
      <x:c r="F920" s="29" t="str">
        <x:v>Slide 1 of 6. Trusting yourself does not mean being certain every time.</x:v>
      </x:c>
      <x:c r="G920" s="29" t="str">
        <x:v>contrast</x:v>
      </x:c>
      <x:c r="H920" s="29" t="str">
        <x:v>Draft — owner review</x:v>
      </x:c>
    </x:row>
    <x:row r="921" ht="84" customHeight="1">
      <x:c r="A921" s="29" t="str">
        <x:v>BTB-154</x:v>
      </x:c>
      <x:c r="B921" s="62" t="n">
        <x:v>46476</x:v>
      </x:c>
      <x:c r="C921" s="64" t="str">
        <x:v>P4</x:v>
      </x:c>
      <x:c r="D921" s="64" t="n">
        <x:v>2</x:v>
      </x:c>
      <x:c r="E921" s="29" t="str">
        <x:v>It can mean gathering information, noticing your limits, and being willing to reconsider a decision when something important changes.</x:v>
      </x:c>
      <x:c r="F921" s="29" t="str">
        <x:v>Slide 2 of 6. It can mean gathering information, noticing your limits, and being willing to reconsider a decision when something important changes.</x:v>
      </x:c>
      <x:c r="G921" s="29" t="str">
        <x:v>contrast</x:v>
      </x:c>
      <x:c r="H921" s="29" t="str">
        <x:v>Draft — owner review</x:v>
      </x:c>
    </x:row>
    <x:row r="922" ht="84" customHeight="1">
      <x:c r="A922" s="29" t="str">
        <x:v>BTB-154</x:v>
      </x:c>
      <x:c r="B922" s="62" t="n">
        <x:v>46476</x:v>
      </x:c>
      <x:c r="C922" s="64" t="str">
        <x:v>P4</x:v>
      </x:c>
      <x:c r="D922" s="64" t="n">
        <x:v>3</x:v>
      </x:c>
      <x:c r="E922" s="29" t="str">
        <x:v>Ask what you know, what you are assuming, and what would make you choose differently.</x:v>
      </x:c>
      <x:c r="F922" s="29" t="str">
        <x:v>Slide 3 of 6. Ask what you know, what you are assuming, and what would make you choose differently.</x:v>
      </x:c>
      <x:c r="G922" s="29" t="str">
        <x:v>contrast</x:v>
      </x:c>
      <x:c r="H922" s="29" t="str">
        <x:v>Draft — owner review</x:v>
      </x:c>
    </x:row>
    <x:row r="923" ht="84" customHeight="1">
      <x:c r="A923" s="29" t="str">
        <x:v>BTB-154</x:v>
      </x:c>
      <x:c r="B923" s="62" t="n">
        <x:v>46476</x:v>
      </x:c>
      <x:c r="C923" s="64" t="str">
        <x:v>P4</x:v>
      </x:c>
      <x:c r="D923" s="64" t="n">
        <x:v>4</x:v>
      </x:c>
      <x:c r="E923" s="29" t="str">
        <x:v>Leave room for qualified advice. Independence does not require making every high-stakes decision alone.</x:v>
      </x:c>
      <x:c r="F923" s="29" t="str">
        <x:v>Slide 4 of 6. Leave room for qualified advice. Independence does not require making every high-stakes decision alone.</x:v>
      </x:c>
      <x:c r="G923" s="29" t="str">
        <x:v>contrast</x:v>
      </x:c>
      <x:c r="H923" s="29" t="str">
        <x:v>Draft — owner review</x:v>
      </x:c>
    </x:row>
    <x:row r="924" ht="84" customHeight="1">
      <x:c r="A924" s="29" t="str">
        <x:v>BTB-154</x:v>
      </x:c>
      <x:c r="B924" s="62" t="n">
        <x:v>46476</x:v>
      </x:c>
      <x:c r="C924" s="64" t="str">
        <x:v>P4</x:v>
      </x:c>
      <x:c r="D924" s="64" t="n">
        <x:v>5</x:v>
      </x:c>
      <x:c r="E924" s="29" t="str">
        <x:v>A past mistake does not obligate you to ignore your own judgment forever.</x:v>
      </x:c>
      <x:c r="F924" s="29" t="str">
        <x:v>Slide 5 of 6. A past mistake does not obligate you to ignore your own judgment forever.</x:v>
      </x:c>
      <x:c r="G924" s="29" t="str">
        <x:v>contrast</x:v>
      </x:c>
      <x:c r="H924" s="29" t="str">
        <x:v>Draft — owner review</x:v>
      </x:c>
    </x:row>
    <x:row r="925" ht="84" customHeight="1">
      <x:c r="A925" s="29" t="str">
        <x:v>BTB-154</x:v>
      </x:c>
      <x:c r="B925" s="62" t="n">
        <x:v>46476</x:v>
      </x:c>
      <x:c r="C925" s="64" t="str">
        <x:v>P4</x:v>
      </x:c>
      <x:c r="D925" s="64" t="n">
        <x:v>6</x:v>
      </x:c>
      <x:c r="E925" s="29" t="str">
        <x:v>Send this to someone who thinks self-trust means never needing another opinion.</x:v>
      </x:c>
      <x:c r="F925" s="29" t="str">
        <x:v>Slide 6 of 6. Send this to someone who thinks self-trust means never needing another opinion.</x:v>
      </x:c>
      <x:c r="G925" s="29" t="str">
        <x:v>contrast</x:v>
      </x:c>
      <x:c r="H925" s="29" t="str">
        <x:v>Draft — owner review</x:v>
      </x:c>
    </x:row>
    <x:row r="926" ht="84" customHeight="1">
      <x:c r="A926" s="29" t="str">
        <x:v>BTB-155</x:v>
      </x:c>
      <x:c r="B926" s="62" t="n">
        <x:v>46477</x:v>
      </x:c>
      <x:c r="C926" s="64" t="str">
        <x:v>P5</x:v>
      </x:c>
      <x:c r="D926" s="64" t="n">
        <x:v>1</x:v>
      </x:c>
      <x:c r="E926" s="29" t="str">
        <x:v>Review the week without putting yourself on trial.</x:v>
      </x:c>
      <x:c r="F926" s="29" t="str">
        <x:v>Slide 1 of 6. Review the week without putting yourself on trial.</x:v>
      </x:c>
      <x:c r="G926" s="29" t="str">
        <x:v>checklist</x:v>
      </x:c>
      <x:c r="H926" s="29" t="str">
        <x:v>Draft — owner review</x:v>
      </x:c>
    </x:row>
    <x:row r="927" ht="84" customHeight="1">
      <x:c r="A927" s="29" t="str">
        <x:v>BTB-155</x:v>
      </x:c>
      <x:c r="B927" s="62" t="n">
        <x:v>46477</x:v>
      </x:c>
      <x:c r="C927" s="64" t="str">
        <x:v>P5</x:v>
      </x:c>
      <x:c r="D927" s="64" t="n">
        <x:v>2</x:v>
      </x:c>
      <x:c r="E927" s="29" t="str">
        <x:v>Start with facts: what was completed, what changed, and what remains open.</x:v>
      </x:c>
      <x:c r="F927" s="29" t="str">
        <x:v>Slide 2 of 6. Start with facts: what was completed, what changed, and what remains open.</x:v>
      </x:c>
      <x:c r="G927" s="29" t="str">
        <x:v>checklist</x:v>
      </x:c>
      <x:c r="H927" s="29" t="str">
        <x:v>Draft — owner review</x:v>
      </x:c>
    </x:row>
    <x:row r="928" ht="84" customHeight="1">
      <x:c r="A928" s="29" t="str">
        <x:v>BTB-155</x:v>
      </x:c>
      <x:c r="B928" s="62" t="n">
        <x:v>46477</x:v>
      </x:c>
      <x:c r="C928" s="64" t="str">
        <x:v>P5</x:v>
      </x:c>
      <x:c r="D928" s="64" t="n">
        <x:v>3</x:v>
      </x:c>
      <x:c r="E928" s="29" t="str">
        <x:v>Ask what worked well enough to repeat and what made the week harder than necessary.</x:v>
      </x:c>
      <x:c r="F928" s="29" t="str">
        <x:v>Slide 3 of 6. Ask what worked well enough to repeat and what made the week harder than necessary.</x:v>
      </x:c>
      <x:c r="G928" s="29" t="str">
        <x:v>checklist</x:v>
      </x:c>
      <x:c r="H928" s="29" t="str">
        <x:v>Draft — owner review</x:v>
      </x:c>
    </x:row>
    <x:row r="929" ht="84" customHeight="1">
      <x:c r="A929" s="29" t="str">
        <x:v>BTB-155</x:v>
      </x:c>
      <x:c r="B929" s="62" t="n">
        <x:v>46477</x:v>
      </x:c>
      <x:c r="C929" s="64" t="str">
        <x:v>P5</x:v>
      </x:c>
      <x:c r="D929" s="64" t="n">
        <x:v>4</x:v>
      </x:c>
      <x:c r="E929" s="29" t="str">
        <x:v>Choose one adjustment. Assign real deadlines and responsibilities rather than carrying everything as a vague worry.</x:v>
      </x:c>
      <x:c r="F929" s="29" t="str">
        <x:v>Slide 4 of 6. Choose one adjustment. Assign real deadlines and responsibilities rather than carrying everything as a vague worry.</x:v>
      </x:c>
      <x:c r="G929" s="29" t="str">
        <x:v>checklist</x:v>
      </x:c>
      <x:c r="H929" s="29" t="str">
        <x:v>Draft — owner review</x:v>
      </x:c>
    </x:row>
    <x:row r="930" ht="84" customHeight="1">
      <x:c r="A930" s="29" t="str">
        <x:v>BTB-155</x:v>
      </x:c>
      <x:c r="B930" s="62" t="n">
        <x:v>46477</x:v>
      </x:c>
      <x:c r="C930" s="64" t="str">
        <x:v>P5</x:v>
      </x:c>
      <x:c r="D930" s="64" t="n">
        <x:v>5</x:v>
      </x:c>
      <x:c r="E930" s="29" t="str">
        <x:v>Include work that maintained your life, not only work that produced a new result.</x:v>
      </x:c>
      <x:c r="F930" s="29" t="str">
        <x:v>Slide 5 of 6. Include work that maintained your life, not only work that produced a new result.</x:v>
      </x:c>
      <x:c r="G930" s="29" t="str">
        <x:v>checklist</x:v>
      </x:c>
      <x:c r="H930" s="29" t="str">
        <x:v>Draft — owner review</x:v>
      </x:c>
    </x:row>
    <x:row r="931" ht="84" customHeight="1">
      <x:c r="A931" s="29" t="str">
        <x:v>BTB-155</x:v>
      </x:c>
      <x:c r="B931" s="62" t="n">
        <x:v>46477</x:v>
      </x:c>
      <x:c r="C931" s="64" t="str">
        <x:v>P5</x:v>
      </x:c>
      <x:c r="D931" s="64" t="n">
        <x:v>6</x:v>
      </x:c>
      <x:c r="E931" s="29" t="str">
        <x:v>Save this for a weekly review that needs to be useful rather than punishing.</x:v>
      </x:c>
      <x:c r="F931" s="29" t="str">
        <x:v>Slide 6 of 6. Save this for a weekly review that needs to be useful rather than punishing.</x:v>
      </x:c>
      <x:c r="G931" s="29" t="str">
        <x:v>checklist</x:v>
      </x:c>
      <x:c r="H931" s="29" t="str">
        <x:v>Draft — owner review</x:v>
      </x:c>
    </x:row>
    <x:row r="932" ht="84" customHeight="1">
      <x:c r="A932" s="29" t="str">
        <x:v>BTB-156</x:v>
      </x:c>
      <x:c r="B932" s="62" t="n">
        <x:v>46478</x:v>
      </x:c>
      <x:c r="C932" s="64" t="str">
        <x:v>P1</x:v>
      </x:c>
      <x:c r="D932" s="64" t="n">
        <x:v>1</x:v>
      </x:c>
      <x:c r="E932" s="29" t="str">
        <x:v>You can begin a small next chapter before you feel completely ready.</x:v>
      </x:c>
      <x:c r="F932" s="29" t="str">
        <x:v>Slide 1 of 6. You can begin a small next chapter before you feel completely ready.</x:v>
      </x:c>
      <x:c r="G932" s="29" t="str">
        <x:v>editorial</x:v>
      </x:c>
      <x:c r="H932" s="29" t="str">
        <x:v>Draft — owner review</x:v>
      </x:c>
    </x:row>
    <x:row r="933" ht="84" customHeight="1">
      <x:c r="A933" s="29" t="str">
        <x:v>BTB-156</x:v>
      </x:c>
      <x:c r="B933" s="62" t="n">
        <x:v>46478</x:v>
      </x:c>
      <x:c r="C933" s="64" t="str">
        <x:v>P1</x:v>
      </x:c>
      <x:c r="D933" s="64" t="n">
        <x:v>2</x:v>
      </x:c>
      <x:c r="E933" s="29" t="str">
        <x:v>Readiness may not arrive as a confident feeling. Sometimes it begins with enough information for one manageable action.</x:v>
      </x:c>
      <x:c r="F933" s="29" t="str">
        <x:v>Slide 2 of 6. Readiness may not arrive as a confident feeling. Sometimes it begins with enough information for one manageable action.</x:v>
      </x:c>
      <x:c r="G933" s="29" t="str">
        <x:v>editorial</x:v>
      </x:c>
      <x:c r="H933" s="29" t="str">
        <x:v>Draft — owner review</x:v>
      </x:c>
    </x:row>
    <x:row r="934" ht="84" customHeight="1">
      <x:c r="A934" s="29" t="str">
        <x:v>BTB-156</x:v>
      </x:c>
      <x:c r="B934" s="62" t="n">
        <x:v>46478</x:v>
      </x:c>
      <x:c r="C934" s="64" t="str">
        <x:v>P1</x:v>
      </x:c>
      <x:c r="D934" s="64" t="n">
        <x:v>3</x:v>
      </x:c>
      <x:c r="E934" s="29" t="str">
        <x:v>Choose an action that does not require a major irreversible commitment.</x:v>
      </x:c>
      <x:c r="F934" s="29" t="str">
        <x:v>Slide 3 of 6. Choose an action that does not require a major irreversible commitment.</x:v>
      </x:c>
      <x:c r="G934" s="29" t="str">
        <x:v>editorial</x:v>
      </x:c>
      <x:c r="H934" s="29" t="str">
        <x:v>Draft — owner review</x:v>
      </x:c>
    </x:row>
    <x:row r="935" ht="84" customHeight="1">
      <x:c r="A935" s="29" t="str">
        <x:v>BTB-156</x:v>
      </x:c>
      <x:c r="B935" s="62" t="n">
        <x:v>46478</x:v>
      </x:c>
      <x:c r="C935" s="64" t="str">
        <x:v>P1</x:v>
      </x:c>
      <x:c r="D935" s="64" t="n">
        <x:v>4</x:v>
      </x:c>
      <x:c r="E935" s="29" t="str">
        <x:v>Try the class, ask the question, explore the option, or reconnect with an interest within your actual capacity.</x:v>
      </x:c>
      <x:c r="F935" s="29" t="str">
        <x:v>Slide 4 of 6. Try the class, ask the question, explore the option, or reconnect with an interest within your actual capacity.</x:v>
      </x:c>
      <x:c r="G935" s="29" t="str">
        <x:v>editorial</x:v>
      </x:c>
      <x:c r="H935" s="29" t="str">
        <x:v>Draft — owner review</x:v>
      </x:c>
    </x:row>
    <x:row r="936" ht="84" customHeight="1">
      <x:c r="A936" s="29" t="str">
        <x:v>BTB-156</x:v>
      </x:c>
      <x:c r="B936" s="62" t="n">
        <x:v>46478</x:v>
      </x:c>
      <x:c r="C936" s="64" t="str">
        <x:v>P1</x:v>
      </x:c>
      <x:c r="D936" s="64" t="n">
        <x:v>5</x:v>
      </x:c>
      <x:c r="E936" s="29" t="str">
        <x:v>Do not use this idea to rush safety-sensitive, legal, medical, or financial decisions.</x:v>
      </x:c>
      <x:c r="F936" s="29" t="str">
        <x:v>Slide 5 of 6. Do not use this idea to rush safety-sensitive, legal, medical, or financial decisions.</x:v>
      </x:c>
      <x:c r="G936" s="29" t="str">
        <x:v>editorial</x:v>
      </x:c>
      <x:c r="H936" s="29" t="str">
        <x:v>Draft — owner review</x:v>
      </x:c>
    </x:row>
    <x:row r="937" ht="84" customHeight="1">
      <x:c r="A937" s="29" t="str">
        <x:v>BTB-156</x:v>
      </x:c>
      <x:c r="B937" s="62" t="n">
        <x:v>46478</x:v>
      </x:c>
      <x:c r="C937" s="64" t="str">
        <x:v>P1</x:v>
      </x:c>
      <x:c r="D937" s="64" t="n">
        <x:v>6</x:v>
      </x:c>
      <x:c r="E937" s="29" t="str">
        <x:v>Share this with someone waiting for total certainty before taking any small step at all.</x:v>
      </x:c>
      <x:c r="F937" s="29" t="str">
        <x:v>Slide 6 of 6. Share this with someone waiting for total certainty before taking any small step at all.</x:v>
      </x:c>
      <x:c r="G937" s="29" t="str">
        <x:v>editorial</x:v>
      </x:c>
      <x:c r="H937" s="29" t="str">
        <x:v>Draft — owner review</x:v>
      </x:c>
    </x:row>
    <x:row r="938" ht="84" customHeight="1">
      <x:c r="A938" s="29" t="str">
        <x:v>BTB-157</x:v>
      </x:c>
      <x:c r="B938" s="62" t="n">
        <x:v>46479</x:v>
      </x:c>
      <x:c r="C938" s="64" t="str">
        <x:v>P2</x:v>
      </x:c>
      <x:c r="D938" s="64" t="n">
        <x:v>1</x:v>
      </x:c>
      <x:c r="E938" s="29" t="str">
        <x:v>Being capable does not mean every load is reasonable.</x:v>
      </x:c>
      <x:c r="F938" s="29" t="str">
        <x:v>Slide 1 of 6. Being capable does not mean every load is reasonable.</x:v>
      </x:c>
      <x:c r="G938" s="29" t="str">
        <x:v>contrast</x:v>
      </x:c>
      <x:c r="H938" s="29" t="str">
        <x:v>Draft — owner review</x:v>
      </x:c>
    </x:row>
    <x:row r="939" ht="84" customHeight="1">
      <x:c r="A939" s="29" t="str">
        <x:v>BTB-157</x:v>
      </x:c>
      <x:c r="B939" s="62" t="n">
        <x:v>46479</x:v>
      </x:c>
      <x:c r="C939" s="64" t="str">
        <x:v>P2</x:v>
      </x:c>
      <x:c r="D939" s="64" t="n">
        <x:v>2</x:v>
      </x:c>
      <x:c r="E939" s="29" t="str">
        <x:v>You may know how to handle a task and still have too many tasks competing for the same time and energy.</x:v>
      </x:c>
      <x:c r="F939" s="29" t="str">
        <x:v>Slide 2 of 6. You may know how to handle a task and still have too many tasks competing for the same time and energy.</x:v>
      </x:c>
      <x:c r="G939" s="29" t="str">
        <x:v>contrast</x:v>
      </x:c>
      <x:c r="H939" s="29" t="str">
        <x:v>Draft — owner review</x:v>
      </x:c>
    </x:row>
    <x:row r="940" ht="84" customHeight="1">
      <x:c r="A940" s="29" t="str">
        <x:v>BTB-157</x:v>
      </x:c>
      <x:c r="B940" s="62" t="n">
        <x:v>46479</x:v>
      </x:c>
      <x:c r="C940" s="64" t="str">
        <x:v>P2</x:v>
      </x:c>
      <x:c r="D940" s="64" t="n">
        <x:v>3</x:v>
      </x:c>
      <x:c r="E940" s="29" t="str">
        <x:v>List the demands before judging your capacity. Identify what can be delayed, delegated, clarified, or supported.</x:v>
      </x:c>
      <x:c r="F940" s="29" t="str">
        <x:v>Slide 3 of 6. List the demands before judging your capacity. Identify what can be delayed, delegated, clarified, or supported.</x:v>
      </x:c>
      <x:c r="G940" s="29" t="str">
        <x:v>contrast</x:v>
      </x:c>
      <x:c r="H940" s="29" t="str">
        <x:v>Draft — owner review</x:v>
      </x:c>
    </x:row>
    <x:row r="941" ht="84" customHeight="1">
      <x:c r="A941" s="29" t="str">
        <x:v>BTB-157</x:v>
      </x:c>
      <x:c r="B941" s="62" t="n">
        <x:v>46479</x:v>
      </x:c>
      <x:c r="C941" s="64" t="str">
        <x:v>P2</x:v>
      </x:c>
      <x:c r="D941" s="64" t="n">
        <x:v>4</x:v>
      </x:c>
      <x:c r="E941" s="29" t="str">
        <x:v>Do not quietly remove essential responsibilities. Renegotiate where possible and seek appropriate help where needed.</x:v>
      </x:c>
      <x:c r="F941" s="29" t="str">
        <x:v>Slide 4 of 6. Do not quietly remove essential responsibilities. Renegotiate where possible and seek appropriate help where needed.</x:v>
      </x:c>
      <x:c r="G941" s="29" t="str">
        <x:v>contrast</x:v>
      </x:c>
      <x:c r="H941" s="29" t="str">
        <x:v>Draft — owner review</x:v>
      </x:c>
    </x:row>
    <x:row r="942" ht="84" customHeight="1">
      <x:c r="A942" s="29" t="str">
        <x:v>BTB-157</x:v>
      </x:c>
      <x:c r="B942" s="62" t="n">
        <x:v>46479</x:v>
      </x:c>
      <x:c r="C942" s="64" t="str">
        <x:v>P2</x:v>
      </x:c>
      <x:c r="D942" s="64" t="n">
        <x:v>5</x:v>
      </x:c>
      <x:c r="E942" s="29" t="str">
        <x:v>A realistic limit is information for planning, not automatically a personal defect.</x:v>
      </x:c>
      <x:c r="F942" s="29" t="str">
        <x:v>Slide 5 of 6. A realistic limit is information for planning, not automatically a personal defect.</x:v>
      </x:c>
      <x:c r="G942" s="29" t="str">
        <x:v>contrast</x:v>
      </x:c>
      <x:c r="H942" s="29" t="str">
        <x:v>Draft — owner review</x:v>
      </x:c>
    </x:row>
    <x:row r="943" ht="84" customHeight="1">
      <x:c r="A943" s="29" t="str">
        <x:v>BTB-157</x:v>
      </x:c>
      <x:c r="B943" s="62" t="n">
        <x:v>46479</x:v>
      </x:c>
      <x:c r="C943" s="64" t="str">
        <x:v>P2</x:v>
      </x:c>
      <x:c r="D943" s="64" t="n">
        <x:v>6</x:v>
      </x:c>
      <x:c r="E943" s="29" t="str">
        <x:v>Save this for a week when competence has become an excuse to expect everything from yourself.</x:v>
      </x:c>
      <x:c r="F943" s="29" t="str">
        <x:v>Slide 6 of 6. Save this for a week when competence has become an excuse to expect everything from yourself.</x:v>
      </x:c>
      <x:c r="G943" s="29" t="str">
        <x:v>contrast</x:v>
      </x:c>
      <x:c r="H943" s="29" t="str">
        <x:v>Draft — owner review</x:v>
      </x:c>
    </x:row>
    <x:row r="944" ht="84" customHeight="1">
      <x:c r="A944" s="29" t="str">
        <x:v>BTB-158</x:v>
      </x:c>
      <x:c r="B944" s="62" t="n">
        <x:v>46480</x:v>
      </x:c>
      <x:c r="C944" s="64" t="str">
        <x:v>P5</x:v>
      </x:c>
      <x:c r="D944" s="64" t="n">
        <x:v>1</x:v>
      </x:c>
      <x:c r="E944" s="29" t="str">
        <x:v>Leave tomorrow an instruction, not a pile of unfinished thoughts.</x:v>
      </x:c>
      <x:c r="F944" s="29" t="str">
        <x:v>Slide 1 of 6. Leave tomorrow an instruction, not a pile of unfinished thoughts.</x:v>
      </x:c>
      <x:c r="G944" s="29" t="str">
        <x:v>checklist</x:v>
      </x:c>
      <x:c r="H944" s="29" t="str">
        <x:v>Draft — owner review</x:v>
      </x:c>
    </x:row>
    <x:row r="945" ht="84" customHeight="1">
      <x:c r="A945" s="29" t="str">
        <x:v>BTB-158</x:v>
      </x:c>
      <x:c r="B945" s="62" t="n">
        <x:v>46480</x:v>
      </x:c>
      <x:c r="C945" s="64" t="str">
        <x:v>P5</x:v>
      </x:c>
      <x:c r="D945" s="64" t="n">
        <x:v>2</x:v>
      </x:c>
      <x:c r="E945" s="29" t="str">
        <x:v>Before stopping a task, write the next visible action and where the relevant information is stored.</x:v>
      </x:c>
      <x:c r="F945" s="29" t="str">
        <x:v>Slide 2 of 6. Before stopping a task, write the next visible action and where the relevant information is stored.</x:v>
      </x:c>
      <x:c r="G945" s="29" t="str">
        <x:v>checklist</x:v>
      </x:c>
      <x:c r="H945" s="29" t="str">
        <x:v>Draft — owner review</x:v>
      </x:c>
    </x:row>
    <x:row r="946" ht="84" customHeight="1">
      <x:c r="A946" s="29" t="str">
        <x:v>BTB-158</x:v>
      </x:c>
      <x:c r="B946" s="62" t="n">
        <x:v>46480</x:v>
      </x:c>
      <x:c r="C946" s="64" t="str">
        <x:v>P5</x:v>
      </x:c>
      <x:c r="D946" s="64" t="n">
        <x:v>3</x:v>
      </x:c>
      <x:c r="E946" s="29" t="str">
        <x:v>For example: “Review the two remaining options, then send the question to the appropriate person.”</x:v>
      </x:c>
      <x:c r="F946" s="29" t="str">
        <x:v>Slide 3 of 6. For example: “Review the two remaining options, then send the question to the appropriate person.”</x:v>
      </x:c>
      <x:c r="G946" s="29" t="str">
        <x:v>checklist</x:v>
      </x:c>
      <x:c r="H946" s="29" t="str">
        <x:v>Draft — owner review</x:v>
      </x:c>
    </x:row>
    <x:row r="947" ht="84" customHeight="1">
      <x:c r="A947" s="29" t="str">
        <x:v>BTB-158</x:v>
      </x:c>
      <x:c r="B947" s="62" t="n">
        <x:v>46480</x:v>
      </x:c>
      <x:c r="C947" s="64" t="str">
        <x:v>P5</x:v>
      </x:c>
      <x:c r="D947" s="64" t="n">
        <x:v>4</x:v>
      </x:c>
      <x:c r="E947" s="29" t="str">
        <x:v>Note any real deadline and anything you are waiting for. Keep private information in secure storage.</x:v>
      </x:c>
      <x:c r="F947" s="29" t="str">
        <x:v>Slide 4 of 6. Note any real deadline and anything you are waiting for. Keep private information in secure storage.</x:v>
      </x:c>
      <x:c r="G947" s="29" t="str">
        <x:v>checklist</x:v>
      </x:c>
      <x:c r="H947" s="29" t="str">
        <x:v>Draft — owner review</x:v>
      </x:c>
    </x:row>
    <x:row r="948" ht="84" customHeight="1">
      <x:c r="A948" s="29" t="str">
        <x:v>BTB-158</x:v>
      </x:c>
      <x:c r="B948" s="62" t="n">
        <x:v>46480</x:v>
      </x:c>
      <x:c r="C948" s="64" t="str">
        <x:v>P5</x:v>
      </x:c>
      <x:c r="D948" s="64" t="n">
        <x:v>5</x:v>
      </x:c>
      <x:c r="E948" s="29" t="str">
        <x:v>Make the note short enough that restarting does not require reconstructing the whole problem.</x:v>
      </x:c>
      <x:c r="F948" s="29" t="str">
        <x:v>Slide 5 of 6. Make the note short enough that restarting does not require reconstructing the whole problem.</x:v>
      </x:c>
      <x:c r="G948" s="29" t="str">
        <x:v>checklist</x:v>
      </x:c>
      <x:c r="H948" s="29" t="str">
        <x:v>Draft — owner review</x:v>
      </x:c>
    </x:row>
    <x:row r="949" ht="84" customHeight="1">
      <x:c r="A949" s="29" t="str">
        <x:v>BTB-158</x:v>
      </x:c>
      <x:c r="B949" s="62" t="n">
        <x:v>46480</x:v>
      </x:c>
      <x:c r="C949" s="64" t="str">
        <x:v>P5</x:v>
      </x:c>
      <x:c r="D949" s="64" t="n">
        <x:v>6</x:v>
      </x:c>
      <x:c r="E949" s="29" t="str">
        <x:v>Save this for the task you keep reopening without remembering where to begin.</x:v>
      </x:c>
      <x:c r="F949" s="29" t="str">
        <x:v>Slide 6 of 6. Save this for the task you keep reopening without remembering where to begin.</x:v>
      </x:c>
      <x:c r="G949" s="29" t="str">
        <x:v>checklist</x:v>
      </x:c>
      <x:c r="H949" s="29" t="str">
        <x:v>Draft — owner review</x:v>
      </x:c>
    </x:row>
    <x:row r="950" ht="84" customHeight="1">
      <x:c r="A950" s="29" t="str">
        <x:v>BTB-159</x:v>
      </x:c>
      <x:c r="B950" s="62" t="n">
        <x:v>46481</x:v>
      </x:c>
      <x:c r="C950" s="64" t="str">
        <x:v>P3</x:v>
      </x:c>
      <x:c r="D950" s="64" t="n">
        <x:v>1</x:v>
      </x:c>
      <x:c r="E950" s="29" t="str">
        <x:v>Your child does not need to hear that you “did everything for them.”</x:v>
      </x:c>
      <x:c r="F950" s="29" t="str">
        <x:v>Slide 1 of 6. Your child does not need to hear that you “did everything for them.”</x:v>
      </x:c>
      <x:c r="G950" s="29" t="str">
        <x:v>editorial</x:v>
      </x:c>
      <x:c r="H950" s="29" t="str">
        <x:v>Draft — owner review</x:v>
      </x:c>
    </x:row>
    <x:row r="951" ht="84" customHeight="1">
      <x:c r="A951" s="29" t="str">
        <x:v>BTB-159</x:v>
      </x:c>
      <x:c r="B951" s="62" t="n">
        <x:v>46481</x:v>
      </x:c>
      <x:c r="C951" s="64" t="str">
        <x:v>P3</x:v>
      </x:c>
      <x:c r="D951" s="64" t="n">
        <x:v>2</x:v>
      </x:c>
      <x:c r="E951" s="29" t="str">
        <x:v>Parenting can require real effort and sacrifice. Turning that effort into a debt can put the child in a difficult position.</x:v>
      </x:c>
      <x:c r="F951" s="29" t="str">
        <x:v>Slide 2 of 6. Parenting can require real effort and sacrifice. Turning that effort into a debt can put the child in a difficult position.</x:v>
      </x:c>
      <x:c r="G951" s="29" t="str">
        <x:v>editorial</x:v>
      </x:c>
      <x:c r="H951" s="29" t="str">
        <x:v>Draft — owner review</x:v>
      </x:c>
    </x:row>
    <x:row r="952" ht="84" customHeight="1">
      <x:c r="A952" s="29" t="str">
        <x:v>BTB-159</x:v>
      </x:c>
      <x:c r="B952" s="62" t="n">
        <x:v>46481</x:v>
      </x:c>
      <x:c r="C952" s="64" t="str">
        <x:v>P3</x:v>
      </x:c>
      <x:c r="D952" s="64" t="n">
        <x:v>3</x:v>
      </x:c>
      <x:c r="E952" s="29" t="str">
        <x:v>Seek adult acknowledgment and support for what you are carrying.</x:v>
      </x:c>
      <x:c r="F952" s="29" t="str">
        <x:v>Slide 3 of 6. Seek adult acknowledgment and support for what you are carrying.</x:v>
      </x:c>
      <x:c r="G952" s="29" t="str">
        <x:v>editorial</x:v>
      </x:c>
      <x:c r="H952" s="29" t="str">
        <x:v>Draft — owner review</x:v>
      </x:c>
    </x:row>
    <x:row r="953" ht="84" customHeight="1">
      <x:c r="A953" s="29" t="str">
        <x:v>BTB-159</x:v>
      </x:c>
      <x:c r="B953" s="62" t="n">
        <x:v>46481</x:v>
      </x:c>
      <x:c r="C953" s="64" t="str">
        <x:v>P3</x:v>
      </x:c>
      <x:c r="D953" s="64" t="n">
        <x:v>4</x:v>
      </x:c>
      <x:c r="E953" s="29" t="str">
        <x:v>With your child, focus on the present need and the limits you can explain appropriately.</x:v>
      </x:c>
      <x:c r="F953" s="29" t="str">
        <x:v>Slide 4 of 6. With your child, focus on the present need and the limits you can explain appropriately.</x:v>
      </x:c>
      <x:c r="G953" s="29" t="str">
        <x:v>editorial</x:v>
      </x:c>
      <x:c r="H953" s="29" t="str">
        <x:v>Draft — owner review</x:v>
      </x:c>
    </x:row>
    <x:row r="954" ht="84" customHeight="1">
      <x:c r="A954" s="29" t="str">
        <x:v>BTB-159</x:v>
      </x:c>
      <x:c r="B954" s="62" t="n">
        <x:v>46481</x:v>
      </x:c>
      <x:c r="C954" s="64" t="str">
        <x:v>P3</x:v>
      </x:c>
      <x:c r="D954" s="64" t="n">
        <x:v>5</x:v>
      </x:c>
      <x:c r="E954" s="29" t="str">
        <x:v>You can be honest about practical constraints without making them responsible for repaying your struggle.</x:v>
      </x:c>
      <x:c r="F954" s="29" t="str">
        <x:v>Slide 5 of 6. You can be honest about practical constraints without making them responsible for repaying your struggle.</x:v>
      </x:c>
      <x:c r="G954" s="29" t="str">
        <x:v>editorial</x:v>
      </x:c>
      <x:c r="H954" s="29" t="str">
        <x:v>Draft — owner review</x:v>
      </x:c>
    </x:row>
    <x:row r="955" ht="84" customHeight="1">
      <x:c r="A955" s="29" t="str">
        <x:v>BTB-159</x:v>
      </x:c>
      <x:c r="B955" s="62" t="n">
        <x:v>46481</x:v>
      </x:c>
      <x:c r="C955" s="64" t="str">
        <x:v>P3</x:v>
      </x:c>
      <x:c r="D955" s="64" t="n">
        <x:v>6</x:v>
      </x:c>
      <x:c r="E955" s="29" t="str">
        <x:v>Share this reminder: children can receive care without being asked to settle the adult emotional bill.</x:v>
      </x:c>
      <x:c r="F955" s="29" t="str">
        <x:v>Slide 6 of 6. Share this reminder: children can receive care without being asked to settle the adult emotional bill.</x:v>
      </x:c>
      <x:c r="G955" s="29" t="str">
        <x:v>editorial</x:v>
      </x:c>
      <x:c r="H955" s="29" t="str">
        <x:v>Draft — owner review</x:v>
      </x:c>
    </x:row>
    <x:row r="956" ht="84" customHeight="1">
      <x:c r="A956" s="29" t="str">
        <x:v>BTB-160</x:v>
      </x:c>
      <x:c r="B956" s="62" t="n">
        <x:v>46482</x:v>
      </x:c>
      <x:c r="C956" s="64" t="str">
        <x:v>P4</x:v>
      </x:c>
      <x:c r="D956" s="64" t="n">
        <x:v>1</x:v>
      </x:c>
      <x:c r="E956" s="29" t="str">
        <x:v>Ask whether the relationship fits your real life, not only your free evening.</x:v>
      </x:c>
      <x:c r="F956" s="29" t="str">
        <x:v>Slide 1 of 6. Ask whether the relationship fits your real life, not only your free evening.</x:v>
      </x:c>
      <x:c r="G956" s="29" t="str">
        <x:v>checklist</x:v>
      </x:c>
      <x:c r="H956" s="29" t="str">
        <x:v>Draft — owner review</x:v>
      </x:c>
    </x:row>
    <x:row r="957" ht="84" customHeight="1">
      <x:c r="A957" s="29" t="str">
        <x:v>BTB-160</x:v>
      </x:c>
      <x:c r="B957" s="62" t="n">
        <x:v>46482</x:v>
      </x:c>
      <x:c r="C957" s="64" t="str">
        <x:v>P4</x:v>
      </x:c>
      <x:c r="D957" s="64" t="n">
        <x:v>2</x:v>
      </x:c>
      <x:c r="E957" s="29" t="str">
        <x:v>A connection may feel easy when responsibilities are temporarily out of view.</x:v>
      </x:c>
      <x:c r="F957" s="29" t="str">
        <x:v>Slide 2 of 6. A connection may feel easy when responsibilities are temporarily out of view.</x:v>
      </x:c>
      <x:c r="G957" s="29" t="str">
        <x:v>checklist</x:v>
      </x:c>
      <x:c r="H957" s="29" t="str">
        <x:v>Draft — owner review</x:v>
      </x:c>
    </x:row>
    <x:row r="958" ht="84" customHeight="1">
      <x:c r="A958" s="29" t="str">
        <x:v>BTB-160</x:v>
      </x:c>
      <x:c r="B958" s="62" t="n">
        <x:v>46482</x:v>
      </x:c>
      <x:c r="C958" s="64" t="str">
        <x:v>P4</x:v>
      </x:c>
      <x:c r="D958" s="64" t="n">
        <x:v>3</x:v>
      </x:c>
      <x:c r="E958" s="29" t="str">
        <x:v>Talk about the actual life around it: work, parenting, time, distance, and existing commitments.</x:v>
      </x:c>
      <x:c r="F958" s="29" t="str">
        <x:v>Slide 3 of 6. Talk about the actual life around it: work, parenting, time, distance, and existing commitments.</x:v>
      </x:c>
      <x:c r="G958" s="29" t="str">
        <x:v>checklist</x:v>
      </x:c>
      <x:c r="H958" s="29" t="str">
        <x:v>Draft — owner review</x:v>
      </x:c>
    </x:row>
    <x:row r="959" ht="84" customHeight="1">
      <x:c r="A959" s="29" t="str">
        <x:v>BTB-160</x:v>
      </x:c>
      <x:c r="B959" s="62" t="n">
        <x:v>46482</x:v>
      </x:c>
      <x:c r="C959" s="64" t="str">
        <x:v>P4</x:v>
      </x:c>
      <x:c r="D959" s="64" t="n">
        <x:v>4</x:v>
      </x:c>
      <x:c r="E959" s="29" t="str">
        <x:v>Ask what each person can offer now, not what you might offer in an imaginary version of the future.</x:v>
      </x:c>
      <x:c r="F959" s="29" t="str">
        <x:v>Slide 4 of 6. Ask what each person can offer now, not what you might offer in an imaginary version of the future.</x:v>
      </x:c>
      <x:c r="G959" s="29" t="str">
        <x:v>checklist</x:v>
      </x:c>
      <x:c r="H959" s="29" t="str">
        <x:v>Draft — owner review</x:v>
      </x:c>
    </x:row>
    <x:row r="960" ht="84" customHeight="1">
      <x:c r="A960" s="29" t="str">
        <x:v>BTB-160</x:v>
      </x:c>
      <x:c r="B960" s="62" t="n">
        <x:v>46482</x:v>
      </x:c>
      <x:c r="C960" s="64" t="str">
        <x:v>P4</x:v>
      </x:c>
      <x:c r="D960" s="64" t="n">
        <x:v>5</x:v>
      </x:c>
      <x:c r="E960" s="29" t="str">
        <x:v>Different capacities are not automatically anyone's fault. They can still matter when deciding what is workable.</x:v>
      </x:c>
      <x:c r="F960" s="29" t="str">
        <x:v>Slide 5 of 6. Different capacities are not automatically anyone's fault. They can still matter when deciding what is workable.</x:v>
      </x:c>
      <x:c r="G960" s="29" t="str">
        <x:v>checklist</x:v>
      </x:c>
      <x:c r="H960" s="29" t="str">
        <x:v>Draft — owner review</x:v>
      </x:c>
    </x:row>
    <x:row r="961" ht="84" customHeight="1">
      <x:c r="A961" s="29" t="str">
        <x:v>BTB-160</x:v>
      </x:c>
      <x:c r="B961" s="62" t="n">
        <x:v>46482</x:v>
      </x:c>
      <x:c r="C961" s="64" t="str">
        <x:v>P4</x:v>
      </x:c>
      <x:c r="D961" s="64" t="n">
        <x:v>6</x:v>
      </x:c>
      <x:c r="E961" s="29" t="str">
        <x:v>Save this for a connection that deserves practical honesty as well as feeling.</x:v>
      </x:c>
      <x:c r="F961" s="29" t="str">
        <x:v>Slide 6 of 6. Save this for a connection that deserves practical honesty as well as feeling.</x:v>
      </x:c>
      <x:c r="G961" s="29" t="str">
        <x:v>checklist</x:v>
      </x:c>
      <x:c r="H961" s="29" t="str">
        <x:v>Draft — owner review</x:v>
      </x:c>
    </x:row>
    <x:row r="962" ht="84" customHeight="1">
      <x:c r="A962" s="29" t="str">
        <x:v>BTB-161</x:v>
      </x:c>
      <x:c r="B962" s="62" t="n">
        <x:v>46483</x:v>
      </x:c>
      <x:c r="C962" s="64" t="str">
        <x:v>P1</x:v>
      </x:c>
      <x:c r="D962" s="64" t="n">
        <x:v>1</x:v>
      </x:c>
      <x:c r="E962" s="29" t="str">
        <x:v>You can be grateful for what remains and honest about what you lost.</x:v>
      </x:c>
      <x:c r="F962" s="29" t="str">
        <x:v>Slide 1 of 6. You can be grateful for what remains and honest about what you lost.</x:v>
      </x:c>
      <x:c r="G962" s="29" t="str">
        <x:v>contrast</x:v>
      </x:c>
      <x:c r="H962" s="29" t="str">
        <x:v>Draft — owner review</x:v>
      </x:c>
    </x:row>
    <x:row r="963" ht="84" customHeight="1">
      <x:c r="A963" s="29" t="str">
        <x:v>BTB-161</x:v>
      </x:c>
      <x:c r="B963" s="62" t="n">
        <x:v>46483</x:v>
      </x:c>
      <x:c r="C963" s="64" t="str">
        <x:v>P1</x:v>
      </x:c>
      <x:c r="D963" s="64" t="n">
        <x:v>2</x:v>
      </x:c>
      <x:c r="E963" s="29" t="str">
        <x:v>Gratitude does not have to be used to silence grief, frustration, or a request for help.</x:v>
      </x:c>
      <x:c r="F963" s="29" t="str">
        <x:v>Slide 2 of 6. Gratitude does not have to be used to silence grief, frustration, or a request for help.</x:v>
      </x:c>
      <x:c r="G963" s="29" t="str">
        <x:v>contrast</x:v>
      </x:c>
      <x:c r="H963" s="29" t="str">
        <x:v>Draft — owner review</x:v>
      </x:c>
    </x:row>
    <x:row r="964" ht="84" customHeight="1">
      <x:c r="A964" s="29" t="str">
        <x:v>BTB-161</x:v>
      </x:c>
      <x:c r="B964" s="62" t="n">
        <x:v>46483</x:v>
      </x:c>
      <x:c r="C964" s="64" t="str">
        <x:v>P1</x:v>
      </x:c>
      <x:c r="D964" s="64" t="n">
        <x:v>3</x:v>
      </x:c>
      <x:c r="E964" s="29" t="str">
        <x:v>Write one thing you value in your present life and one thing that is still difficult.</x:v>
      </x:c>
      <x:c r="F964" s="29" t="str">
        <x:v>Slide 3 of 6. Write one thing you value in your present life and one thing that is still difficult.</x:v>
      </x:c>
      <x:c r="G964" s="29" t="str">
        <x:v>contrast</x:v>
      </x:c>
      <x:c r="H964" s="29" t="str">
        <x:v>Draft — owner review</x:v>
      </x:c>
    </x:row>
    <x:row r="965" ht="84" customHeight="1">
      <x:c r="A965" s="29" t="str">
        <x:v>BTB-161</x:v>
      </x:c>
      <x:c r="B965" s="62" t="n">
        <x:v>46483</x:v>
      </x:c>
      <x:c r="C965" s="64" t="str">
        <x:v>P1</x:v>
      </x:c>
      <x:c r="D965" s="64" t="n">
        <x:v>4</x:v>
      </x:c>
      <x:c r="E965" s="29" t="str">
        <x:v>Let the first be appreciated. Let the second receive the attention or support it needs.</x:v>
      </x:c>
      <x:c r="F965" s="29" t="str">
        <x:v>Slide 4 of 6. Let the first be appreciated. Let the second receive the attention or support it needs.</x:v>
      </x:c>
      <x:c r="G965" s="29" t="str">
        <x:v>contrast</x:v>
      </x:c>
      <x:c r="H965" s="29" t="str">
        <x:v>Draft — owner review</x:v>
      </x:c>
    </x:row>
    <x:row r="966" ht="84" customHeight="1">
      <x:c r="A966" s="29" t="str">
        <x:v>BTB-161</x:v>
      </x:c>
      <x:c r="B966" s="62" t="n">
        <x:v>46483</x:v>
      </x:c>
      <x:c r="C966" s="64" t="str">
        <x:v>P1</x:v>
      </x:c>
      <x:c r="D966" s="64" t="n">
        <x:v>5</x:v>
      </x:c>
      <x:c r="E966" s="29" t="str">
        <x:v>Neither sentence has to cancel the other.</x:v>
      </x:c>
      <x:c r="F966" s="29" t="str">
        <x:v>Slide 5 of 6. Neither sentence has to cancel the other.</x:v>
      </x:c>
      <x:c r="G966" s="29" t="str">
        <x:v>contrast</x:v>
      </x:c>
      <x:c r="H966" s="29" t="str">
        <x:v>Draft — owner review</x:v>
      </x:c>
    </x:row>
    <x:row r="967" ht="84" customHeight="1">
      <x:c r="A967" s="29" t="str">
        <x:v>BTB-161</x:v>
      </x:c>
      <x:c r="B967" s="62" t="n">
        <x:v>46483</x:v>
      </x:c>
      <x:c r="C967" s="64" t="str">
        <x:v>P1</x:v>
      </x:c>
      <x:c r="D967" s="64" t="n">
        <x:v>6</x:v>
      </x:c>
      <x:c r="E967" s="29" t="str">
        <x:v>Send this to someone who keeps being told to count their blessings instead of being heard.</x:v>
      </x:c>
      <x:c r="F967" s="29" t="str">
        <x:v>Slide 6 of 6. Send this to someone who keeps being told to count their blessings instead of being heard.</x:v>
      </x:c>
      <x:c r="G967" s="29" t="str">
        <x:v>contrast</x:v>
      </x:c>
      <x:c r="H967" s="29" t="str">
        <x:v>Draft — owner review</x:v>
      </x:c>
    </x:row>
    <x:row r="968" ht="84" customHeight="1">
      <x:c r="A968" s="29" t="str">
        <x:v>BTB-162</x:v>
      </x:c>
      <x:c r="B968" s="62" t="n">
        <x:v>46484</x:v>
      </x:c>
      <x:c r="C968" s="64" t="str">
        <x:v>P2</x:v>
      </x:c>
      <x:c r="D968" s="64" t="n">
        <x:v>1</x:v>
      </x:c>
      <x:c r="E968" s="29" t="str">
        <x:v>“You're so strong” can be kind—and still leave you needing help.</x:v>
      </x:c>
      <x:c r="F968" s="29" t="str">
        <x:v>Slide 1 of 6. “You're so strong” can be kind—and still leave you needing help.</x:v>
      </x:c>
      <x:c r="G968" s="29" t="str">
        <x:v>script</x:v>
      </x:c>
      <x:c r="H968" s="29" t="str">
        <x:v>Draft — owner review</x:v>
      </x:c>
    </x:row>
    <x:row r="969" ht="84" customHeight="1">
      <x:c r="A969" s="29" t="str">
        <x:v>BTB-162</x:v>
      </x:c>
      <x:c r="B969" s="62" t="n">
        <x:v>46484</x:v>
      </x:c>
      <x:c r="C969" s="64" t="str">
        <x:v>P2</x:v>
      </x:c>
      <x:c r="D969" s="64" t="n">
        <x:v>2</x:v>
      </x:c>
      <x:c r="E969" s="29" t="str">
        <x:v>Being admired for coping may make it harder to say that coping has become difficult.</x:v>
      </x:c>
      <x:c r="F969" s="29" t="str">
        <x:v>Slide 2 of 6. Being admired for coping may make it harder to say that coping has become difficult.</x:v>
      </x:c>
      <x:c r="G969" s="29" t="str">
        <x:v>script</x:v>
      </x:c>
      <x:c r="H969" s="29" t="str">
        <x:v>Draft — owner review</x:v>
      </x:c>
    </x:row>
    <x:row r="970" ht="84" customHeight="1">
      <x:c r="A970" s="29" t="str">
        <x:v>BTB-162</x:v>
      </x:c>
      <x:c r="B970" s="62" t="n">
        <x:v>46484</x:v>
      </x:c>
      <x:c r="C970" s="64" t="str">
        <x:v>P2</x:v>
      </x:c>
      <x:c r="D970" s="64" t="n">
        <x:v>3</x:v>
      </x:c>
      <x:c r="E970" s="29" t="str">
        <x:v>Try: “Thank you. I'm also finding this hard, and I could use some practical support.”</x:v>
      </x:c>
      <x:c r="F970" s="29" t="str">
        <x:v>Slide 3 of 6. Try: “Thank you. I'm also finding this hard, and I could use some practical support.”</x:v>
      </x:c>
      <x:c r="G970" s="29" t="str">
        <x:v>script</x:v>
      </x:c>
      <x:c r="H970" s="29" t="str">
        <x:v>Draft — owner review</x:v>
      </x:c>
    </x:row>
    <x:row r="971" ht="84" customHeight="1">
      <x:c r="A971" s="29" t="str">
        <x:v>BTB-162</x:v>
      </x:c>
      <x:c r="B971" s="62" t="n">
        <x:v>46484</x:v>
      </x:c>
      <x:c r="C971" s="64" t="str">
        <x:v>P2</x:v>
      </x:c>
      <x:c r="D971" s="64" t="n">
        <x:v>4</x:v>
      </x:c>
      <x:c r="E971" s="29" t="str">
        <x:v>Name one thing that would help, or ask for time to talk about what support is available.</x:v>
      </x:c>
      <x:c r="F971" s="29" t="str">
        <x:v>Slide 4 of 6. Name one thing that would help, or ask for time to talk about what support is available.</x:v>
      </x:c>
      <x:c r="G971" s="29" t="str">
        <x:v>script</x:v>
      </x:c>
      <x:c r="H971" s="29" t="str">
        <x:v>Draft — owner review</x:v>
      </x:c>
    </x:row>
    <x:row r="972" ht="84" customHeight="1">
      <x:c r="A972" s="29" t="str">
        <x:v>BTB-162</x:v>
      </x:c>
      <x:c r="B972" s="62" t="n">
        <x:v>46484</x:v>
      </x:c>
      <x:c r="C972" s="64" t="str">
        <x:v>P2</x:v>
      </x:c>
      <x:c r="D972" s="64" t="n">
        <x:v>5</x:v>
      </x:c>
      <x:c r="E972" s="29" t="str">
        <x:v>You do not need to keep performing strength because it is the version of you people recognise.</x:v>
      </x:c>
      <x:c r="F972" s="29" t="str">
        <x:v>Slide 5 of 6. You do not need to keep performing strength because it is the version of you people recognise.</x:v>
      </x:c>
      <x:c r="G972" s="29" t="str">
        <x:v>script</x:v>
      </x:c>
      <x:c r="H972" s="29" t="str">
        <x:v>Draft — owner review</x:v>
      </x:c>
    </x:row>
    <x:row r="973" ht="84" customHeight="1">
      <x:c r="A973" s="29" t="str">
        <x:v>BTB-162</x:v>
      </x:c>
      <x:c r="B973" s="62" t="n">
        <x:v>46484</x:v>
      </x:c>
      <x:c r="C973" s="64" t="str">
        <x:v>P2</x:v>
      </x:c>
      <x:c r="D973" s="64" t="n">
        <x:v>6</x:v>
      </x:c>
      <x:c r="E973" s="29" t="str">
        <x:v>Save this response for a compliment that does not quite describe what you need.</x:v>
      </x:c>
      <x:c r="F973" s="29" t="str">
        <x:v>Slide 6 of 6. Save this response for a compliment that does not quite describe what you need.</x:v>
      </x:c>
      <x:c r="G973" s="29" t="str">
        <x:v>script</x:v>
      </x:c>
      <x:c r="H973" s="29" t="str">
        <x:v>Draft — owner review</x:v>
      </x:c>
    </x:row>
    <x:row r="974" ht="84" customHeight="1">
      <x:c r="A974" s="29" t="str">
        <x:v>BTB-163</x:v>
      </x:c>
      <x:c r="B974" s="62" t="n">
        <x:v>46485</x:v>
      </x:c>
      <x:c r="C974" s="64" t="str">
        <x:v>P5</x:v>
      </x:c>
      <x:c r="D974" s="64" t="n">
        <x:v>1</x:v>
      </x:c>
      <x:c r="E974" s="29" t="str">
        <x:v>Before paying for a solution, make sure you can describe the problem.</x:v>
      </x:c>
      <x:c r="F974" s="29" t="str">
        <x:v>Slide 1 of 6. Before paying for a solution, make sure you can describe the problem.</x:v>
      </x:c>
      <x:c r="G974" s="29" t="str">
        <x:v>checklist</x:v>
      </x:c>
      <x:c r="H974" s="29" t="str">
        <x:v>Draft — owner review</x:v>
      </x:c>
    </x:row>
    <x:row r="975" ht="84" customHeight="1">
      <x:c r="A975" s="29" t="str">
        <x:v>BTB-163</x:v>
      </x:c>
      <x:c r="B975" s="62" t="n">
        <x:v>46485</x:v>
      </x:c>
      <x:c r="C975" s="64" t="str">
        <x:v>P5</x:v>
      </x:c>
      <x:c r="D975" s="64" t="n">
        <x:v>2</x:v>
      </x:c>
      <x:c r="E975" s="29" t="str">
        <x:v>A difficult season can make a confident promise feel especially attractive.</x:v>
      </x:c>
      <x:c r="F975" s="29" t="str">
        <x:v>Slide 2 of 6. A difficult season can make a confident promise feel especially attractive.</x:v>
      </x:c>
      <x:c r="G975" s="29" t="str">
        <x:v>checklist</x:v>
      </x:c>
      <x:c r="H975" s="29" t="str">
        <x:v>Draft — owner review</x:v>
      </x:c>
    </x:row>
    <x:row r="976" ht="84" customHeight="1">
      <x:c r="A976" s="29" t="str">
        <x:v>BTB-163</x:v>
      </x:c>
      <x:c r="B976" s="62" t="n">
        <x:v>46485</x:v>
      </x:c>
      <x:c r="C976" s="64" t="str">
        <x:v>P5</x:v>
      </x:c>
      <x:c r="D976" s="64" t="n">
        <x:v>3</x:v>
      </x:c>
      <x:c r="E976" s="29" t="str">
        <x:v>Write what you actually need, what the offer includes, what it costs, and what claims remain unverified.</x:v>
      </x:c>
      <x:c r="F976" s="29" t="str">
        <x:v>Slide 3 of 6. Write what you actually need, what the offer includes, what it costs, and what claims remain unverified.</x:v>
      </x:c>
      <x:c r="G976" s="29" t="str">
        <x:v>checklist</x:v>
      </x:c>
      <x:c r="H976" s="29" t="str">
        <x:v>Draft — owner review</x:v>
      </x:c>
    </x:row>
    <x:row r="977" ht="84" customHeight="1">
      <x:c r="A977" s="29" t="str">
        <x:v>BTB-163</x:v>
      </x:c>
      <x:c r="B977" s="62" t="n">
        <x:v>46485</x:v>
      </x:c>
      <x:c r="C977" s="64" t="str">
        <x:v>P5</x:v>
      </x:c>
      <x:c r="D977" s="64" t="n">
        <x:v>4</x:v>
      </x:c>
      <x:c r="E977" s="29" t="str">
        <x:v>Check the provider's relevant qualifications, terms, and realistic limitations. Be wary of guaranteed transformation.</x:v>
      </x:c>
      <x:c r="F977" s="29" t="str">
        <x:v>Slide 4 of 6. Check the provider's relevant qualifications, terms, and realistic limitations. Be wary of guaranteed transformation.</x:v>
      </x:c>
      <x:c r="G977" s="29" t="str">
        <x:v>checklist</x:v>
      </x:c>
      <x:c r="H977" s="29" t="str">
        <x:v>Draft — owner review</x:v>
      </x:c>
    </x:row>
    <x:row r="978" ht="84" customHeight="1">
      <x:c r="A978" s="29" t="str">
        <x:v>BTB-163</x:v>
      </x:c>
      <x:c r="B978" s="62" t="n">
        <x:v>46485</x:v>
      </x:c>
      <x:c r="C978" s="64" t="str">
        <x:v>P5</x:v>
      </x:c>
      <x:c r="D978" s="64" t="n">
        <x:v>5</x:v>
      </x:c>
      <x:c r="E978" s="29" t="str">
        <x:v>Take high-stakes financial, legal, or health decisions to appropriately qualified people. Do not buy simply to end today's uncertainty.</x:v>
      </x:c>
      <x:c r="F978" s="29" t="str">
        <x:v>Slide 5 of 6. Take high-stakes financial, legal, or health decisions to appropriately qualified people. Do not buy simply to end today's uncertainty.</x:v>
      </x:c>
      <x:c r="G978" s="29" t="str">
        <x:v>checklist</x:v>
      </x:c>
      <x:c r="H978" s="29" t="str">
        <x:v>Draft — owner review</x:v>
      </x:c>
    </x:row>
    <x:row r="979" ht="84" customHeight="1">
      <x:c r="A979" s="29" t="str">
        <x:v>BTB-163</x:v>
      </x:c>
      <x:c r="B979" s="62" t="n">
        <x:v>46485</x:v>
      </x:c>
      <x:c r="C979" s="64" t="str">
        <x:v>P5</x:v>
      </x:c>
      <x:c r="D979" s="64" t="n">
        <x:v>6</x:v>
      </x:c>
      <x:c r="E979" s="29" t="str">
        <x:v>Save this before a powerful sales message becomes a rushed commitment.</x:v>
      </x:c>
      <x:c r="F979" s="29" t="str">
        <x:v>Slide 6 of 6. Save this before a powerful sales message becomes a rushed commitment.</x:v>
      </x:c>
      <x:c r="G979" s="29" t="str">
        <x:v>checklist</x:v>
      </x:c>
      <x:c r="H979" s="29" t="str">
        <x:v>Draft — owner review</x:v>
      </x:c>
    </x:row>
    <x:row r="980" ht="84" customHeight="1">
      <x:c r="A980" s="29" t="str">
        <x:v>BTB-164</x:v>
      </x:c>
      <x:c r="B980" s="62" t="n">
        <x:v>46486</x:v>
      </x:c>
      <x:c r="C980" s="64" t="str">
        <x:v>P6</x:v>
      </x:c>
      <x:c r="D980" s="64" t="n">
        <x:v>1</x:v>
      </x:c>
      <x:c r="E980" s="29" t="str">
        <x:v>This page is not selling a deadline for your recovery.</x:v>
      </x:c>
      <x:c r="F980" s="29" t="str">
        <x:v>Slide 1 of 6. This page is not selling a deadline for your recovery.</x:v>
      </x:c>
      <x:c r="G980" s="29" t="str">
        <x:v>letter</x:v>
      </x:c>
      <x:c r="H980" s="29" t="str">
        <x:v>Draft — owner review</x:v>
      </x:c>
    </x:row>
    <x:row r="981" ht="84" customHeight="1">
      <x:c r="A981" s="29" t="str">
        <x:v>BTB-164</x:v>
      </x:c>
      <x:c r="B981" s="62" t="n">
        <x:v>46486</x:v>
      </x:c>
      <x:c r="C981" s="64" t="str">
        <x:v>P6</x:v>
      </x:c>
      <x:c r="D981" s="64" t="n">
        <x:v>2</x:v>
      </x:c>
      <x:c r="E981" s="29" t="str">
        <x:v>I will not promise that a certain number of posts, routines, or days will make your life balanced.</x:v>
      </x:c>
      <x:c r="F981" s="29" t="str">
        <x:v>Slide 2 of 6. I will not promise that a certain number of posts, routines, or days will make your life balanced.</x:v>
      </x:c>
      <x:c r="G981" s="29" t="str">
        <x:v>letter</x:v>
      </x:c>
      <x:c r="H981" s="29" t="str">
        <x:v>Draft — owner review</x:v>
      </x:c>
    </x:row>
    <x:row r="982" ht="84" customHeight="1">
      <x:c r="A982" s="29" t="str">
        <x:v>BTB-164</x:v>
      </x:c>
      <x:c r="B982" s="62" t="n">
        <x:v>46486</x:v>
      </x:c>
      <x:c r="C982" s="64" t="str">
        <x:v>P6</x:v>
      </x:c>
      <x:c r="D982" s="64" t="n">
        <x:v>3</x:v>
      </x:c>
      <x:c r="E982" s="29" t="str">
        <x:v>The experience behind the brand is real. The tools offered here are still suggestions, not guarantees.</x:v>
      </x:c>
      <x:c r="F982" s="29" t="str">
        <x:v>Slide 3 of 6. The experience behind the brand is real. The tools offered here are still suggestions, not guarantees.</x:v>
      </x:c>
      <x:c r="G982" s="29" t="str">
        <x:v>letter</x:v>
      </x:c>
      <x:c r="H982" s="29" t="str">
        <x:v>Draft — owner review</x:v>
      </x:c>
    </x:row>
    <x:row r="983" ht="84" customHeight="1">
      <x:c r="A983" s="29" t="str">
        <x:v>BTB-164</x:v>
      </x:c>
      <x:c r="B983" s="62" t="n">
        <x:v>46486</x:v>
      </x:c>
      <x:c r="C983" s="64" t="str">
        <x:v>P6</x:v>
      </x:c>
      <x:c r="D983" s="64" t="n">
        <x:v>4</x:v>
      </x:c>
      <x:c r="E983" s="29" t="str">
        <x:v>Some may fit. Some may not. Some situations need help that social content cannot provide.</x:v>
      </x:c>
      <x:c r="F983" s="29" t="str">
        <x:v>Slide 4 of 6. Some may fit. Some may not. Some situations need help that social content cannot provide.</x:v>
      </x:c>
      <x:c r="G983" s="29" t="str">
        <x:v>letter</x:v>
      </x:c>
      <x:c r="H983" s="29" t="str">
        <x:v>Draft — owner review</x:v>
      </x:c>
    </x:row>
    <x:row r="984" ht="84" customHeight="1">
      <x:c r="A984" s="29" t="str">
        <x:v>BTB-164</x:v>
      </x:c>
      <x:c r="B984" s="62" t="n">
        <x:v>46486</x:v>
      </x:c>
      <x:c r="C984" s="64" t="str">
        <x:v>P6</x:v>
      </x:c>
      <x:c r="D984" s="64" t="n">
        <x:v>5</x:v>
      </x:c>
      <x:c r="E984" s="29" t="str">
        <x:v>I want the page to earn trust by being clear about that, even when certainty would make a stronger headline.</x:v>
      </x:c>
      <x:c r="F984" s="29" t="str">
        <x:v>Slide 5 of 6. I want the page to earn trust by being clear about that, even when certainty would make a stronger headline.</x:v>
      </x:c>
      <x:c r="G984" s="29" t="str">
        <x:v>letter</x:v>
      </x:c>
      <x:c r="H984" s="29" t="str">
        <x:v>Draft — owner review</x:v>
      </x:c>
    </x:row>
    <x:row r="985" ht="84" customHeight="1">
      <x:c r="A985" s="29" t="str">
        <x:v>BTB-164</x:v>
      </x:c>
      <x:c r="B985" s="62" t="n">
        <x:v>46486</x:v>
      </x:c>
      <x:c r="C985" s="64" t="str">
        <x:v>P6</x:v>
      </x:c>
      <x:c r="D985" s="64" t="n">
        <x:v>6</x:v>
      </x:c>
      <x:c r="E985" s="29" t="str">
        <x:v>Follow for practical hope without a manufactured finish date.</x:v>
      </x:c>
      <x:c r="F985" s="29" t="str">
        <x:v>Slide 6 of 6. Follow for practical hope without a manufactured finish date.</x:v>
      </x:c>
      <x:c r="G985" s="29" t="str">
        <x:v>letter</x:v>
      </x:c>
      <x:c r="H985" s="29" t="str">
        <x:v>Draft — owner review</x:v>
      </x:c>
    </x:row>
    <x:row r="986" ht="84" customHeight="1">
      <x:c r="A986" s="29" t="str">
        <x:v>BTB-165</x:v>
      </x:c>
      <x:c r="B986" s="62" t="n">
        <x:v>46487</x:v>
      </x:c>
      <x:c r="C986" s="64" t="str">
        <x:v>P3</x:v>
      </x:c>
      <x:c r="D986" s="64" t="n">
        <x:v>1</x:v>
      </x:c>
      <x:c r="E986" s="29" t="str">
        <x:v>You can protect your child's privacy when other adults ask questions.</x:v>
      </x:c>
      <x:c r="F986" s="29" t="str">
        <x:v>Slide 1 of 6. You can protect your child's privacy when other adults ask questions.</x:v>
      </x:c>
      <x:c r="G986" s="29" t="str">
        <x:v>script</x:v>
      </x:c>
      <x:c r="H986" s="29" t="str">
        <x:v>Draft — owner review</x:v>
      </x:c>
    </x:row>
    <x:row r="987" ht="84" customHeight="1">
      <x:c r="A987" s="29" t="str">
        <x:v>BTB-165</x:v>
      </x:c>
      <x:c r="B987" s="62" t="n">
        <x:v>46487</x:v>
      </x:c>
      <x:c r="C987" s="64" t="str">
        <x:v>P3</x:v>
      </x:c>
      <x:c r="D987" s="64" t="n">
        <x:v>2</x:v>
      </x:c>
      <x:c r="E987" s="29" t="str">
        <x:v>A family gathering or friendly conversation can drift into details that are not yours to share publicly.</x:v>
      </x:c>
      <x:c r="F987" s="29" t="str">
        <x:v>Slide 2 of 6. A family gathering or friendly conversation can drift into details that are not yours to share publicly.</x:v>
      </x:c>
      <x:c r="G987" s="29" t="str">
        <x:v>script</x:v>
      </x:c>
      <x:c r="H987" s="29" t="str">
        <x:v>Draft — owner review</x:v>
      </x:c>
    </x:row>
    <x:row r="988" ht="84" customHeight="1">
      <x:c r="A988" s="29" t="str">
        <x:v>BTB-165</x:v>
      </x:c>
      <x:c r="B988" s="62" t="n">
        <x:v>46487</x:v>
      </x:c>
      <x:c r="C988" s="64" t="str">
        <x:v>P3</x:v>
      </x:c>
      <x:c r="D988" s="64" t="n">
        <x:v>3</x:v>
      </x:c>
      <x:c r="E988" s="29" t="str">
        <x:v>Try: “We're keeping the children's personal matters private. Thanks for understanding.”</x:v>
      </x:c>
      <x:c r="F988" s="29" t="str">
        <x:v>Slide 3 of 6. Try: “We're keeping the children's personal matters private. Thanks for understanding.”</x:v>
      </x:c>
      <x:c r="G988" s="29" t="str">
        <x:v>script</x:v>
      </x:c>
      <x:c r="H988" s="29" t="str">
        <x:v>Draft — owner review</x:v>
      </x:c>
    </x:row>
    <x:row r="989" ht="84" customHeight="1">
      <x:c r="A989" s="29" t="str">
        <x:v>BTB-165</x:v>
      </x:c>
      <x:c r="B989" s="62" t="n">
        <x:v>46487</x:v>
      </x:c>
      <x:c r="C989" s="64" t="str">
        <x:v>P3</x:v>
      </x:c>
      <x:c r="D989" s="64" t="n">
        <x:v>4</x:v>
      </x:c>
      <x:c r="E989" s="29" t="str">
        <x:v>Discuss necessary concerns with the appropriate professionals or people directly responsible for their care.</x:v>
      </x:c>
      <x:c r="F989" s="29" t="str">
        <x:v>Slide 4 of 6. Discuss necessary concerns with the appropriate professionals or people directly responsible for their care.</x:v>
      </x:c>
      <x:c r="G989" s="29" t="str">
        <x:v>script</x:v>
      </x:c>
      <x:c r="H989" s="29" t="str">
        <x:v>Draft — owner review</x:v>
      </x:c>
    </x:row>
    <x:row r="990" ht="84" customHeight="1">
      <x:c r="A990" s="29" t="str">
        <x:v>BTB-165</x:v>
      </x:c>
      <x:c r="B990" s="62" t="n">
        <x:v>46487</x:v>
      </x:c>
      <x:c r="C990" s="64" t="str">
        <x:v>P3</x:v>
      </x:c>
      <x:c r="D990" s="64" t="n">
        <x:v>5</x:v>
      </x:c>
      <x:c r="E990" s="29" t="str">
        <x:v>Privacy should not prevent safeguarding action or proper support. It should prevent unnecessary public exposure.</x:v>
      </x:c>
      <x:c r="F990" s="29" t="str">
        <x:v>Slide 5 of 6. Privacy should not prevent safeguarding action or proper support. It should prevent unnecessary public exposure.</x:v>
      </x:c>
      <x:c r="G990" s="29" t="str">
        <x:v>script</x:v>
      </x:c>
      <x:c r="H990" s="29" t="str">
        <x:v>Draft — owner review</x:v>
      </x:c>
    </x:row>
    <x:row r="991" ht="84" customHeight="1">
      <x:c r="A991" s="29" t="str">
        <x:v>BTB-165</x:v>
      </x:c>
      <x:c r="B991" s="62" t="n">
        <x:v>46487</x:v>
      </x:c>
      <x:c r="C991" s="64" t="str">
        <x:v>P3</x:v>
      </x:c>
      <x:c r="D991" s="64" t="n">
        <x:v>6</x:v>
      </x:c>
      <x:c r="E991" s="29" t="str">
        <x:v>Save this sentence for a question that sounds casual but asks for too much.</x:v>
      </x:c>
      <x:c r="F991" s="29" t="str">
        <x:v>Slide 6 of 6. Save this sentence for a question that sounds casual but asks for too much.</x:v>
      </x:c>
      <x:c r="G991" s="29" t="str">
        <x:v>script</x:v>
      </x:c>
      <x:c r="H991" s="29" t="str">
        <x:v>Draft — owner review</x:v>
      </x:c>
    </x:row>
    <x:row r="992" ht="84" customHeight="1">
      <x:c r="A992" s="29" t="str">
        <x:v>BTB-166</x:v>
      </x:c>
      <x:c r="B992" s="62" t="n">
        <x:v>46488</x:v>
      </x:c>
      <x:c r="C992" s="64" t="str">
        <x:v>P4</x:v>
      </x:c>
      <x:c r="D992" s="64" t="n">
        <x:v>1</x:v>
      </x:c>
      <x:c r="E992" s="29" t="str">
        <x:v>You can revise a boundary when you understand your needs more clearly.</x:v>
      </x:c>
      <x:c r="F992" s="29" t="str">
        <x:v>Slide 1 of 6. You can revise a boundary when you understand your needs more clearly.</x:v>
      </x:c>
      <x:c r="G992" s="29" t="str">
        <x:v>script</x:v>
      </x:c>
      <x:c r="H992" s="29" t="str">
        <x:v>Draft — owner review</x:v>
      </x:c>
    </x:row>
    <x:row r="993" ht="84" customHeight="1">
      <x:c r="A993" s="29" t="str">
        <x:v>BTB-166</x:v>
      </x:c>
      <x:c r="B993" s="62" t="n">
        <x:v>46488</x:v>
      </x:c>
      <x:c r="C993" s="64" t="str">
        <x:v>P4</x:v>
      </x:c>
      <x:c r="D993" s="64" t="n">
        <x:v>2</x:v>
      </x:c>
      <x:c r="E993" s="29" t="str">
        <x:v>A previous yes does not automatically describe what you can offer forever.</x:v>
      </x:c>
      <x:c r="F993" s="29" t="str">
        <x:v>Slide 2 of 6. A previous yes does not automatically describe what you can offer forever.</x:v>
      </x:c>
      <x:c r="G993" s="29" t="str">
        <x:v>script</x:v>
      </x:c>
      <x:c r="H993" s="29" t="str">
        <x:v>Draft — owner review</x:v>
      </x:c>
    </x:row>
    <x:row r="994" ht="84" customHeight="1">
      <x:c r="A994" s="29" t="str">
        <x:v>BTB-166</x:v>
      </x:c>
      <x:c r="B994" s="62" t="n">
        <x:v>46488</x:v>
      </x:c>
      <x:c r="C994" s="64" t="str">
        <x:v>P4</x:v>
      </x:c>
      <x:c r="D994" s="64" t="n">
        <x:v>3</x:v>
      </x:c>
      <x:c r="E994" s="29" t="str">
        <x:v>Where appropriate, say: “I agreed to this before, but it is no longer workable. I need to discuss a different arrangement.”</x:v>
      </x:c>
      <x:c r="F994" s="29" t="str">
        <x:v>Slide 3 of 6. Where appropriate, say: “I agreed to this before, but it is no longer workable. I need to discuss a different arrangement.”</x:v>
      </x:c>
      <x:c r="G994" s="29" t="str">
        <x:v>script</x:v>
      </x:c>
      <x:c r="H994" s="29" t="str">
        <x:v>Draft — owner review</x:v>
      </x:c>
    </x:row>
    <x:row r="995" ht="84" customHeight="1">
      <x:c r="A995" s="29" t="str">
        <x:v>BTB-166</x:v>
      </x:c>
      <x:c r="B995" s="62" t="n">
        <x:v>46488</x:v>
      </x:c>
      <x:c r="C995" s="64" t="str">
        <x:v>P4</x:v>
      </x:c>
      <x:c r="D995" s="64" t="n">
        <x:v>4</x:v>
      </x:c>
      <x:c r="E995" s="29" t="str">
        <x:v>Give necessary notice and consider the impact on others. Do not use a new preference to ignore binding responsibilities.</x:v>
      </x:c>
      <x:c r="F995" s="29" t="str">
        <x:v>Slide 4 of 6. Give necessary notice and consider the impact on others. Do not use a new preference to ignore binding responsibilities.</x:v>
      </x:c>
      <x:c r="G995" s="29" t="str">
        <x:v>script</x:v>
      </x:c>
      <x:c r="H995" s="29" t="str">
        <x:v>Draft — owner review</x:v>
      </x:c>
    </x:row>
    <x:row r="996" ht="84" customHeight="1">
      <x:c r="A996" s="29" t="str">
        <x:v>BTB-166</x:v>
      </x:c>
      <x:c r="B996" s="62" t="n">
        <x:v>46488</x:v>
      </x:c>
      <x:c r="C996" s="64" t="str">
        <x:v>P4</x:v>
      </x:c>
      <x:c r="D996" s="64" t="n">
        <x:v>5</x:v>
      </x:c>
      <x:c r="E996" s="29" t="str">
        <x:v>For legal, workplace, or safety-sensitive arrangements, use the proper advice and process.</x:v>
      </x:c>
      <x:c r="F996" s="29" t="str">
        <x:v>Slide 5 of 6. For legal, workplace, or safety-sensitive arrangements, use the proper advice and process.</x:v>
      </x:c>
      <x:c r="G996" s="29" t="str">
        <x:v>script</x:v>
      </x:c>
      <x:c r="H996" s="29" t="str">
        <x:v>Draft — owner review</x:v>
      </x:c>
    </x:row>
    <x:row r="997" ht="84" customHeight="1">
      <x:c r="A997" s="29" t="str">
        <x:v>BTB-166</x:v>
      </x:c>
      <x:c r="B997" s="62" t="n">
        <x:v>46488</x:v>
      </x:c>
      <x:c r="C997" s="64" t="str">
        <x:v>P4</x:v>
      </x:c>
      <x:c r="D997" s="64" t="n">
        <x:v>6</x:v>
      </x:c>
      <x:c r="E997" s="29" t="str">
        <x:v>Save this for a limit that needs updating rather than silently resenting.</x:v>
      </x:c>
      <x:c r="F997" s="29" t="str">
        <x:v>Slide 6 of 6. Save this for a limit that needs updating rather than silently resenting.</x:v>
      </x:c>
      <x:c r="G997" s="29" t="str">
        <x:v>script</x:v>
      </x:c>
      <x:c r="H997" s="29" t="str">
        <x:v>Draft — owner review</x:v>
      </x:c>
    </x:row>
    <x:row r="998" ht="84" customHeight="1">
      <x:c r="A998" s="29" t="str">
        <x:v>BTB-167</x:v>
      </x:c>
      <x:c r="B998" s="62" t="n">
        <x:v>46489</x:v>
      </x:c>
      <x:c r="C998" s="64" t="str">
        <x:v>P5</x:v>
      </x:c>
      <x:c r="D998" s="64" t="n">
        <x:v>1</x:v>
      </x:c>
      <x:c r="E998" s="29" t="str">
        <x:v>When the answer is uncertain, prepare two workable next steps.</x:v>
      </x:c>
      <x:c r="F998" s="29" t="str">
        <x:v>Slide 1 of 6. When the answer is uncertain, prepare two workable next steps.</x:v>
      </x:c>
      <x:c r="G998" s="29" t="str">
        <x:v>checklist</x:v>
      </x:c>
      <x:c r="H998" s="29" t="str">
        <x:v>Draft — owner review</x:v>
      </x:c>
    </x:row>
    <x:row r="999" ht="84" customHeight="1">
      <x:c r="A999" s="29" t="str">
        <x:v>BTB-167</x:v>
      </x:c>
      <x:c r="B999" s="62" t="n">
        <x:v>46489</x:v>
      </x:c>
      <x:c r="C999" s="64" t="str">
        <x:v>P5</x:v>
      </x:c>
      <x:c r="D999" s="64" t="n">
        <x:v>2</x:v>
      </x:c>
      <x:c r="E999" s="29" t="str">
        <x:v>You may be waiting on an application, a decision, or information you cannot produce yourself.</x:v>
      </x:c>
      <x:c r="F999" s="29" t="str">
        <x:v>Slide 2 of 6. You may be waiting on an application, a decision, or information you cannot produce yourself.</x:v>
      </x:c>
      <x:c r="G999" s="29" t="str">
        <x:v>checklist</x:v>
      </x:c>
      <x:c r="H999" s="29" t="str">
        <x:v>Draft — owner review</x:v>
      </x:c>
    </x:row>
    <x:row r="1000" ht="84" customHeight="1">
      <x:c r="A1000" s="29" t="str">
        <x:v>BTB-167</x:v>
      </x:c>
      <x:c r="B1000" s="62" t="n">
        <x:v>46489</x:v>
      </x:c>
      <x:c r="C1000" s="64" t="str">
        <x:v>P5</x:v>
      </x:c>
      <x:c r="D1000" s="64" t="n">
        <x:v>3</x:v>
      </x:c>
      <x:c r="E1000" s="29" t="str">
        <x:v>Write: “If this happens, my next action is…” and “If it does not, my next action is…”</x:v>
      </x:c>
      <x:c r="F1000" s="29" t="str">
        <x:v>Slide 3 of 6. Write: “If this happens, my next action is…” and “If it does not, my next action is…”</x:v>
      </x:c>
      <x:c r="G1000" s="29" t="str">
        <x:v>checklist</x:v>
      </x:c>
      <x:c r="H1000" s="29" t="str">
        <x:v>Draft — owner review</x:v>
      </x:c>
    </x:row>
    <x:row r="1001" ht="84" customHeight="1">
      <x:c r="A1001" s="29" t="str">
        <x:v>BTB-167</x:v>
      </x:c>
      <x:c r="B1001" s="62" t="n">
        <x:v>46489</x:v>
      </x:c>
      <x:c r="C1001" s="64" t="str">
        <x:v>P5</x:v>
      </x:c>
      <x:c r="D1001" s="64" t="n">
        <x:v>4</x:v>
      </x:c>
      <x:c r="E1001" s="29" t="str">
        <x:v>Keep both actions realistic. Do not confuse preparation with knowing which outcome will occur.</x:v>
      </x:c>
      <x:c r="F1001" s="29" t="str">
        <x:v>Slide 4 of 6. Keep both actions realistic. Do not confuse preparation with knowing which outcome will occur.</x:v>
      </x:c>
      <x:c r="G1001" s="29" t="str">
        <x:v>checklist</x:v>
      </x:c>
      <x:c r="H1001" s="29" t="str">
        <x:v>Draft — owner review</x:v>
      </x:c>
    </x:row>
    <x:row r="1002" ht="84" customHeight="1">
      <x:c r="A1002" s="29" t="str">
        <x:v>BTB-167</x:v>
      </x:c>
      <x:c r="B1002" s="62" t="n">
        <x:v>46489</x:v>
      </x:c>
      <x:c r="C1002" s="64" t="str">
        <x:v>P5</x:v>
      </x:c>
      <x:c r="D1002" s="64" t="n">
        <x:v>5</x:v>
      </x:c>
      <x:c r="E1002" s="29" t="str">
        <x:v>For high-stakes matters, build the options with qualified guidance rather than acting on assumptions.</x:v>
      </x:c>
      <x:c r="F1002" s="29" t="str">
        <x:v>Slide 5 of 6. For high-stakes matters, build the options with qualified guidance rather than acting on assumptions.</x:v>
      </x:c>
      <x:c r="G1002" s="29" t="str">
        <x:v>checklist</x:v>
      </x:c>
      <x:c r="H1002" s="29" t="str">
        <x:v>Draft — owner review</x:v>
      </x:c>
    </x:row>
    <x:row r="1003" ht="84" customHeight="1">
      <x:c r="A1003" s="29" t="str">
        <x:v>BTB-167</x:v>
      </x:c>
      <x:c r="B1003" s="62" t="n">
        <x:v>46489</x:v>
      </x:c>
      <x:c r="C1003" s="64" t="str">
        <x:v>P5</x:v>
      </x:c>
      <x:c r="D1003" s="64" t="n">
        <x:v>6</x:v>
      </x:c>
      <x:c r="E1003" s="29" t="str">
        <x:v>Save this for a waiting period where uncertainty keeps turning into helplessness.</x:v>
      </x:c>
      <x:c r="F1003" s="29" t="str">
        <x:v>Slide 6 of 6. Save this for a waiting period where uncertainty keeps turning into helplessness.</x:v>
      </x:c>
      <x:c r="G1003" s="29" t="str">
        <x:v>checklist</x:v>
      </x:c>
      <x:c r="H1003" s="29" t="str">
        <x:v>Draft — owner review</x:v>
      </x:c>
    </x:row>
    <x:row r="1004" ht="84" customHeight="1">
      <x:c r="A1004" s="29" t="str">
        <x:v>BTB-168</x:v>
      </x:c>
      <x:c r="B1004" s="62" t="n">
        <x:v>46490</x:v>
      </x:c>
      <x:c r="C1004" s="64" t="str">
        <x:v>P1</x:v>
      </x:c>
      <x:c r="D1004" s="64" t="n">
        <x:v>1</x:v>
      </x:c>
      <x:c r="E1004" s="29" t="str">
        <x:v>You do not have to keep introducing yourself as the person who was hurt.</x:v>
      </x:c>
      <x:c r="F1004" s="29" t="str">
        <x:v>Slide 1 of 6. You do not have to keep introducing yourself as the person who was hurt.</x:v>
      </x:c>
      <x:c r="G1004" s="29" t="str">
        <x:v>editorial</x:v>
      </x:c>
      <x:c r="H1004" s="29" t="str">
        <x:v>Draft — owner review</x:v>
      </x:c>
    </x:row>
    <x:row r="1005" ht="84" customHeight="1">
      <x:c r="A1005" s="29" t="str">
        <x:v>BTB-168</x:v>
      </x:c>
      <x:c r="B1005" s="62" t="n">
        <x:v>46490</x:v>
      </x:c>
      <x:c r="C1005" s="64" t="str">
        <x:v>P1</x:v>
      </x:c>
      <x:c r="D1005" s="64" t="n">
        <x:v>2</x:v>
      </x:c>
      <x:c r="E1005" s="29" t="str">
        <x:v>What happened can remain important without being the only explanation of who you are becoming.</x:v>
      </x:c>
      <x:c r="F1005" s="29" t="str">
        <x:v>Slide 2 of 6. What happened can remain important without being the only explanation of who you are becoming.</x:v>
      </x:c>
      <x:c r="G1005" s="29" t="str">
        <x:v>editorial</x:v>
      </x:c>
      <x:c r="H1005" s="29" t="str">
        <x:v>Draft — owner review</x:v>
      </x:c>
    </x:row>
    <x:row r="1006" ht="84" customHeight="1">
      <x:c r="A1006" s="29" t="str">
        <x:v>BTB-168</x:v>
      </x:c>
      <x:c r="B1006" s="62" t="n">
        <x:v>46490</x:v>
      </x:c>
      <x:c r="C1006" s="64" t="str">
        <x:v>P1</x:v>
      </x:c>
      <x:c r="D1006" s="64" t="n">
        <x:v>3</x:v>
      </x:c>
      <x:c r="E1006" s="29" t="str">
        <x:v>Ask what you want to practise now: steadiness, honesty, curiosity, care, or something else that matters to you.</x:v>
      </x:c>
      <x:c r="F1006" s="29" t="str">
        <x:v>Slide 3 of 6. Ask what you want to practise now: steadiness, honesty, curiosity, care, or something else that matters to you.</x:v>
      </x:c>
      <x:c r="G1006" s="29" t="str">
        <x:v>editorial</x:v>
      </x:c>
      <x:c r="H1006" s="29" t="str">
        <x:v>Draft — owner review</x:v>
      </x:c>
    </x:row>
    <x:row r="1007" ht="84" customHeight="1">
      <x:c r="A1007" s="29" t="str">
        <x:v>BTB-168</x:v>
      </x:c>
      <x:c r="B1007" s="62" t="n">
        <x:v>46490</x:v>
      </x:c>
      <x:c r="C1007" s="64" t="str">
        <x:v>P1</x:v>
      </x:c>
      <x:c r="D1007" s="64" t="n">
        <x:v>4</x:v>
      </x:c>
      <x:c r="E1007" s="29" t="str">
        <x:v>Choose a small behaviour that expresses it in an ordinary situation.</x:v>
      </x:c>
      <x:c r="F1007" s="29" t="str">
        <x:v>Slide 4 of 6. Choose a small behaviour that expresses it in an ordinary situation.</x:v>
      </x:c>
      <x:c r="G1007" s="29" t="str">
        <x:v>editorial</x:v>
      </x:c>
      <x:c r="H1007" s="29" t="str">
        <x:v>Draft — owner review</x:v>
      </x:c>
    </x:row>
    <x:row r="1008" ht="84" customHeight="1">
      <x:c r="A1008" s="29" t="str">
        <x:v>BTB-168</x:v>
      </x:c>
      <x:c r="B1008" s="62" t="n">
        <x:v>46490</x:v>
      </x:c>
      <x:c r="C1008" s="64" t="str">
        <x:v>P1</x:v>
      </x:c>
      <x:c r="D1008" s="64" t="n">
        <x:v>5</x:v>
      </x:c>
      <x:c r="E1008" s="29" t="str">
        <x:v>This does not erase harm or remove anyone's responsibility. It gives your present choices some space in the story.</x:v>
      </x:c>
      <x:c r="F1008" s="29" t="str">
        <x:v>Slide 5 of 6. This does not erase harm or remove anyone's responsibility. It gives your present choices some space in the story.</x:v>
      </x:c>
      <x:c r="G1008" s="29" t="str">
        <x:v>editorial</x:v>
      </x:c>
      <x:c r="H1008" s="29" t="str">
        <x:v>Draft — owner review</x:v>
      </x:c>
    </x:row>
    <x:row r="1009" ht="84" customHeight="1">
      <x:c r="A1009" s="29" t="str">
        <x:v>BTB-168</x:v>
      </x:c>
      <x:c r="B1009" s="62" t="n">
        <x:v>46490</x:v>
      </x:c>
      <x:c r="C1009" s="64" t="str">
        <x:v>P1</x:v>
      </x:c>
      <x:c r="D1009" s="64" t="n">
        <x:v>6</x:v>
      </x:c>
      <x:c r="E1009" s="29" t="str">
        <x:v>Share this with someone ready to be known for more than what they endured.</x:v>
      </x:c>
      <x:c r="F1009" s="29" t="str">
        <x:v>Slide 6 of 6. Share this with someone ready to be known for more than what they endured.</x:v>
      </x:c>
      <x:c r="G1009" s="29" t="str">
        <x:v>editorial</x:v>
      </x:c>
      <x:c r="H1009" s="29" t="str">
        <x:v>Draft — owner review</x:v>
      </x:c>
    </x:row>
    <x:row r="1010" ht="84" customHeight="1">
      <x:c r="A1010" s="29" t="str">
        <x:v>BTB-169</x:v>
      </x:c>
      <x:c r="B1010" s="62" t="n">
        <x:v>46491</x:v>
      </x:c>
      <x:c r="C1010" s="64" t="str">
        <x:v>P2</x:v>
      </x:c>
      <x:c r="D1010" s="64" t="n">
        <x:v>1</x:v>
      </x:c>
      <x:c r="E1010" s="29" t="str">
        <x:v>A good day does not need a warning label.</x:v>
      </x:c>
      <x:c r="F1010" s="29" t="str">
        <x:v>Slide 1 of 6. A good day does not need a warning label.</x:v>
      </x:c>
      <x:c r="G1010" s="29" t="str">
        <x:v>editorial</x:v>
      </x:c>
      <x:c r="H1010" s="29" t="str">
        <x:v>Draft — owner review</x:v>
      </x:c>
    </x:row>
    <x:row r="1011" ht="84" customHeight="1">
      <x:c r="A1011" s="29" t="str">
        <x:v>BTB-169</x:v>
      </x:c>
      <x:c r="B1011" s="62" t="n">
        <x:v>46491</x:v>
      </x:c>
      <x:c r="C1011" s="64" t="str">
        <x:v>P2</x:v>
      </x:c>
      <x:c r="D1011" s="64" t="n">
        <x:v>2</x:v>
      </x:c>
      <x:c r="E1011" s="29" t="str">
        <x:v>You may find yourself enjoying a moment and immediately preparing for it to be taken away.</x:v>
      </x:c>
      <x:c r="F1011" s="29" t="str">
        <x:v>Slide 2 of 6. You may find yourself enjoying a moment and immediately preparing for it to be taken away.</x:v>
      </x:c>
      <x:c r="G1011" s="29" t="str">
        <x:v>editorial</x:v>
      </x:c>
      <x:c r="H1011" s="29" t="str">
        <x:v>Draft — owner review</x:v>
      </x:c>
    </x:row>
    <x:row r="1012" ht="84" customHeight="1">
      <x:c r="A1012" s="29" t="str">
        <x:v>BTB-169</x:v>
      </x:c>
      <x:c r="B1012" s="62" t="n">
        <x:v>46491</x:v>
      </x:c>
      <x:c r="C1012" s="64" t="str">
        <x:v>P2</x:v>
      </x:c>
      <x:c r="D1012" s="64" t="n">
        <x:v>3</x:v>
      </x:c>
      <x:c r="E1012" s="29" t="str">
        <x:v>Notice that thought without treating it as information about what must happen next.</x:v>
      </x:c>
      <x:c r="F1012" s="29" t="str">
        <x:v>Slide 3 of 6. Notice that thought without treating it as information about what must happen next.</x:v>
      </x:c>
      <x:c r="G1012" s="29" t="str">
        <x:v>editorial</x:v>
      </x:c>
      <x:c r="H1012" s="29" t="str">
        <x:v>Draft — owner review</x:v>
      </x:c>
    </x:row>
    <x:row r="1013" ht="84" customHeight="1">
      <x:c r="A1013" s="29" t="str">
        <x:v>BTB-169</x:v>
      </x:c>
      <x:c r="B1013" s="62" t="n">
        <x:v>46491</x:v>
      </x:c>
      <x:c r="C1013" s="64" t="str">
        <x:v>P2</x:v>
      </x:c>
      <x:c r="D1013" s="64" t="n">
        <x:v>4</x:v>
      </x:c>
      <x:c r="E1013" s="29" t="str">
        <x:v>Ask whether there is an actual task or concern that needs attention now. If not, let the moment remain a moment.</x:v>
      </x:c>
      <x:c r="F1013" s="29" t="str">
        <x:v>Slide 4 of 6. Ask whether there is an actual task or concern that needs attention now. If not, let the moment remain a moment.</x:v>
      </x:c>
      <x:c r="G1013" s="29" t="str">
        <x:v>editorial</x:v>
      </x:c>
      <x:c r="H1013" s="29" t="str">
        <x:v>Draft — owner review</x:v>
      </x:c>
    </x:row>
    <x:row r="1014" ht="84" customHeight="1">
      <x:c r="A1014" s="29" t="str">
        <x:v>BTB-169</x:v>
      </x:c>
      <x:c r="B1014" s="62" t="n">
        <x:v>46491</x:v>
      </x:c>
      <x:c r="C1014" s="64" t="str">
        <x:v>P2</x:v>
      </x:c>
      <x:c r="D1014" s="64" t="n">
        <x:v>5</x:v>
      </x:c>
      <x:c r="E1014" s="29" t="str">
        <x:v>If feeling on edge is persistent or overwhelming, seek professional support rather than expecting a reminder to fix it.</x:v>
      </x:c>
      <x:c r="F1014" s="29" t="str">
        <x:v>Slide 5 of 6. If feeling on edge is persistent or overwhelming, seek professional support rather than expecting a reminder to fix it.</x:v>
      </x:c>
      <x:c r="G1014" s="29" t="str">
        <x:v>editorial</x:v>
      </x:c>
      <x:c r="H1014" s="29" t="str">
        <x:v>Draft — owner review</x:v>
      </x:c>
    </x:row>
    <x:row r="1015" ht="84" customHeight="1">
      <x:c r="A1015" s="29" t="str">
        <x:v>BTB-169</x:v>
      </x:c>
      <x:c r="B1015" s="62" t="n">
        <x:v>46491</x:v>
      </x:c>
      <x:c r="C1015" s="64" t="str">
        <x:v>P2</x:v>
      </x:c>
      <x:c r="D1015" s="64" t="n">
        <x:v>6</x:v>
      </x:c>
      <x:c r="E1015" s="29" t="str">
        <x:v>Send this to someone who finds it difficult to let an ordinary good day be good.</x:v>
      </x:c>
      <x:c r="F1015" s="29" t="str">
        <x:v>Slide 6 of 6. Send this to someone who finds it difficult to let an ordinary good day be good.</x:v>
      </x:c>
      <x:c r="G1015" s="29" t="str">
        <x:v>editorial</x:v>
      </x:c>
      <x:c r="H1015" s="29" t="str">
        <x:v>Draft — owner review</x:v>
      </x:c>
    </x:row>
    <x:row r="1016" ht="84" customHeight="1">
      <x:c r="A1016" s="29" t="str">
        <x:v>BTB-170</x:v>
      </x:c>
      <x:c r="B1016" s="62" t="n">
        <x:v>46492</x:v>
      </x:c>
      <x:c r="C1016" s="64" t="str">
        <x:v>P3</x:v>
      </x:c>
      <x:c r="D1016" s="64" t="n">
        <x:v>1</x:v>
      </x:c>
      <x:c r="E1016" s="29" t="str">
        <x:v>Being the adult does not mean having every answer.</x:v>
      </x:c>
      <x:c r="F1016" s="29" t="str">
        <x:v>Slide 1 of 6. Being the adult does not mean having every answer.</x:v>
      </x:c>
      <x:c r="G1016" s="29" t="str">
        <x:v>contrast</x:v>
      </x:c>
      <x:c r="H1016" s="29" t="str">
        <x:v>Draft — owner review</x:v>
      </x:c>
    </x:row>
    <x:row r="1017" ht="84" customHeight="1">
      <x:c r="A1017" s="29" t="str">
        <x:v>BTB-170</x:v>
      </x:c>
      <x:c r="B1017" s="62" t="n">
        <x:v>46492</x:v>
      </x:c>
      <x:c r="C1017" s="64" t="str">
        <x:v>P3</x:v>
      </x:c>
      <x:c r="D1017" s="64" t="n">
        <x:v>2</x:v>
      </x:c>
      <x:c r="E1017" s="29" t="str">
        <x:v>It means taking responsibility for finding appropriate information instead of asking your child to resolve the uncertainty.</x:v>
      </x:c>
      <x:c r="F1017" s="29" t="str">
        <x:v>Slide 2 of 6. It means taking responsibility for finding appropriate information instead of asking your child to resolve the uncertainty.</x:v>
      </x:c>
      <x:c r="G1017" s="29" t="str">
        <x:v>contrast</x:v>
      </x:c>
      <x:c r="H1017" s="29" t="str">
        <x:v>Draft — owner review</x:v>
      </x:c>
    </x:row>
    <x:row r="1018" ht="84" customHeight="1">
      <x:c r="A1018" s="29" t="str">
        <x:v>BTB-170</x:v>
      </x:c>
      <x:c r="B1018" s="62" t="n">
        <x:v>46492</x:v>
      </x:c>
      <x:c r="C1018" s="64" t="str">
        <x:v>P3</x:v>
      </x:c>
      <x:c r="D1018" s="64" t="n">
        <x:v>3</x:v>
      </x:c>
      <x:c r="E1018" s="29" t="str">
        <x:v>Try: “I don't know yet. I will ask the right person and tell you what I can when I know.”</x:v>
      </x:c>
      <x:c r="F1018" s="29" t="str">
        <x:v>Slide 3 of 6. Try: “I don't know yet. I will ask the right person and tell you what I can when I know.”</x:v>
      </x:c>
      <x:c r="G1018" s="29" t="str">
        <x:v>contrast</x:v>
      </x:c>
      <x:c r="H1018" s="29" t="str">
        <x:v>Draft — owner review</x:v>
      </x:c>
    </x:row>
    <x:row r="1019" ht="84" customHeight="1">
      <x:c r="A1019" s="29" t="str">
        <x:v>BTB-170</x:v>
      </x:c>
      <x:c r="B1019" s="62" t="n">
        <x:v>46492</x:v>
      </x:c>
      <x:c r="C1019" s="64" t="str">
        <x:v>P3</x:v>
      </x:c>
      <x:c r="D1019" s="64" t="n">
        <x:v>4</x:v>
      </x:c>
      <x:c r="E1019" s="29" t="str">
        <x:v>Keep promises about updates realistic. Do not fill the gap with guesses or private adult accusations.</x:v>
      </x:c>
      <x:c r="F1019" s="29" t="str">
        <x:v>Slide 4 of 6. Keep promises about updates realistic. Do not fill the gap with guesses or private adult accusations.</x:v>
      </x:c>
      <x:c r="G1019" s="29" t="str">
        <x:v>contrast</x:v>
      </x:c>
      <x:c r="H1019" s="29" t="str">
        <x:v>Draft — owner review</x:v>
      </x:c>
    </x:row>
    <x:row r="1020" ht="84" customHeight="1">
      <x:c r="A1020" s="29" t="str">
        <x:v>BTB-170</x:v>
      </x:c>
      <x:c r="B1020" s="62" t="n">
        <x:v>46492</x:v>
      </x:c>
      <x:c r="C1020" s="64" t="str">
        <x:v>P3</x:v>
      </x:c>
      <x:c r="D1020" s="64" t="n">
        <x:v>5</x:v>
      </x:c>
      <x:c r="E1020" s="29" t="str">
        <x:v>Seek professional guidance for questions involving wellbeing, safety, or complicated family arrangements.</x:v>
      </x:c>
      <x:c r="F1020" s="29" t="str">
        <x:v>Slide 5 of 6. Seek professional guidance for questions involving wellbeing, safety, or complicated family arrangements.</x:v>
      </x:c>
      <x:c r="G1020" s="29" t="str">
        <x:v>contrast</x:v>
      </x:c>
      <x:c r="H1020" s="29" t="str">
        <x:v>Draft — owner review</x:v>
      </x:c>
    </x:row>
    <x:row r="1021" ht="84" customHeight="1">
      <x:c r="A1021" s="29" t="str">
        <x:v>BTB-170</x:v>
      </x:c>
      <x:c r="B1021" s="62" t="n">
        <x:v>46492</x:v>
      </x:c>
      <x:c r="C1021" s="64" t="str">
        <x:v>P3</x:v>
      </x:c>
      <x:c r="D1021" s="64" t="n">
        <x:v>6</x:v>
      </x:c>
      <x:c r="E1021" s="29" t="str">
        <x:v>Save this for a parenting moment where a truthful “not yet” is better than invented certainty.</x:v>
      </x:c>
      <x:c r="F1021" s="29" t="str">
        <x:v>Slide 6 of 6. Save this for a parenting moment where a truthful “not yet” is better than invented certainty.</x:v>
      </x:c>
      <x:c r="G1021" s="29" t="str">
        <x:v>contrast</x:v>
      </x:c>
      <x:c r="H1021" s="29" t="str">
        <x:v>Draft — owner review</x:v>
      </x:c>
    </x:row>
    <x:row r="1022" ht="84" customHeight="1">
      <x:c r="A1022" s="29" t="str">
        <x:v>BTB-171</x:v>
      </x:c>
      <x:c r="B1022" s="62" t="n">
        <x:v>46493</x:v>
      </x:c>
      <x:c r="C1022" s="64" t="str">
        <x:v>P4</x:v>
      </x:c>
      <x:c r="D1022" s="64" t="n">
        <x:v>1</x:v>
      </x:c>
      <x:c r="E1022" s="29" t="str">
        <x:v>A relationship can support your life without becoming the whole structure holding it up.</x:v>
      </x:c>
      <x:c r="F1022" s="29" t="str">
        <x:v>Slide 1 of 6. A relationship can support your life without becoming the whole structure holding it up.</x:v>
      </x:c>
      <x:c r="G1022" s="29" t="str">
        <x:v>contrast</x:v>
      </x:c>
      <x:c r="H1022" s="29" t="str">
        <x:v>Draft — owner review</x:v>
      </x:c>
    </x:row>
    <x:row r="1023" ht="84" customHeight="1">
      <x:c r="A1023" s="29" t="str">
        <x:v>BTB-171</x:v>
      </x:c>
      <x:c r="B1023" s="62" t="n">
        <x:v>46493</x:v>
      </x:c>
      <x:c r="C1023" s="64" t="str">
        <x:v>P4</x:v>
      </x:c>
      <x:c r="D1023" s="64" t="n">
        <x:v>2</x:v>
      </x:c>
      <x:c r="E1023" s="29" t="str">
        <x:v>Closeness does not require every interest, friendship, and source of support to move into one person.</x:v>
      </x:c>
      <x:c r="F1023" s="29" t="str">
        <x:v>Slide 2 of 6. Closeness does not require every interest, friendship, and source of support to move into one person.</x:v>
      </x:c>
      <x:c r="G1023" s="29" t="str">
        <x:v>contrast</x:v>
      </x:c>
      <x:c r="H1023" s="29" t="str">
        <x:v>Draft — owner review</x:v>
      </x:c>
    </x:row>
    <x:row r="1024" ht="84" customHeight="1">
      <x:c r="A1024" s="29" t="str">
        <x:v>BTB-171</x:v>
      </x:c>
      <x:c r="B1024" s="62" t="n">
        <x:v>46493</x:v>
      </x:c>
      <x:c r="C1024" s="64" t="str">
        <x:v>P4</x:v>
      </x:c>
      <x:c r="D1024" s="64" t="n">
        <x:v>3</x:v>
      </x:c>
      <x:c r="E1024" s="29" t="str">
        <x:v>Ask whether both people have room for responsibilities and connections outside the relationship.</x:v>
      </x:c>
      <x:c r="F1024" s="29" t="str">
        <x:v>Slide 3 of 6. Ask whether both people have room for responsibilities and connections outside the relationship.</x:v>
      </x:c>
      <x:c r="G1024" s="29" t="str">
        <x:v>contrast</x:v>
      </x:c>
      <x:c r="H1024" s="29" t="str">
        <x:v>Draft — owner review</x:v>
      </x:c>
    </x:row>
    <x:row r="1025" ht="84" customHeight="1">
      <x:c r="A1025" s="29" t="str">
        <x:v>BTB-171</x:v>
      </x:c>
      <x:c r="B1025" s="62" t="n">
        <x:v>46493</x:v>
      </x:c>
      <x:c r="C1025" s="64" t="str">
        <x:v>P4</x:v>
      </x:c>
      <x:c r="D1025" s="64" t="n">
        <x:v>4</x:v>
      </x:c>
      <x:c r="E1025" s="29" t="str">
        <x:v>Discuss expectations openly rather than testing loyalty through withdrawal, jealousy, or demands for constant access.</x:v>
      </x:c>
      <x:c r="F1025" s="29" t="str">
        <x:v>Slide 4 of 6. Discuss expectations openly rather than testing loyalty through withdrawal, jealousy, or demands for constant access.</x:v>
      </x:c>
      <x:c r="G1025" s="29" t="str">
        <x:v>contrast</x:v>
      </x:c>
      <x:c r="H1025" s="29" t="str">
        <x:v>Draft — owner review</x:v>
      </x:c>
    </x:row>
    <x:row r="1026" ht="84" customHeight="1">
      <x:c r="A1026" s="29" t="str">
        <x:v>BTB-171</x:v>
      </x:c>
      <x:c r="B1026" s="62" t="n">
        <x:v>46493</x:v>
      </x:c>
      <x:c r="C1026" s="64" t="str">
        <x:v>P4</x:v>
      </x:c>
      <x:c r="D1026" s="64" t="n">
        <x:v>5</x:v>
      </x:c>
      <x:c r="E1026" s="29" t="str">
        <x:v>Where control or isolation is a concern, seek appropriate support rather than trying to solve it with a slogan.</x:v>
      </x:c>
      <x:c r="F1026" s="29" t="str">
        <x:v>Slide 5 of 6. Where control or isolation is a concern, seek appropriate support rather than trying to solve it with a slogan.</x:v>
      </x:c>
      <x:c r="G1026" s="29" t="str">
        <x:v>contrast</x:v>
      </x:c>
      <x:c r="H1026" s="29" t="str">
        <x:v>Draft — owner review</x:v>
      </x:c>
    </x:row>
    <x:row r="1027" ht="84" customHeight="1">
      <x:c r="A1027" s="29" t="str">
        <x:v>BTB-171</x:v>
      </x:c>
      <x:c r="B1027" s="62" t="n">
        <x:v>46493</x:v>
      </x:c>
      <x:c r="C1027" s="64" t="str">
        <x:v>P4</x:v>
      </x:c>
      <x:c r="D1027" s="64" t="n">
        <x:v>6</x:v>
      </x:c>
      <x:c r="E1027" s="29" t="str">
        <x:v>Share this with someone who wants closeness without disappearing into it.</x:v>
      </x:c>
      <x:c r="F1027" s="29" t="str">
        <x:v>Slide 6 of 6. Share this with someone who wants closeness without disappearing into it.</x:v>
      </x:c>
      <x:c r="G1027" s="29" t="str">
        <x:v>contrast</x:v>
      </x:c>
      <x:c r="H1027" s="29" t="str">
        <x:v>Draft — owner review</x:v>
      </x:c>
    </x:row>
    <x:row r="1028" ht="84" customHeight="1">
      <x:c r="A1028" s="29" t="str">
        <x:v>BTB-172</x:v>
      </x:c>
      <x:c r="B1028" s="62" t="n">
        <x:v>46494</x:v>
      </x:c>
      <x:c r="C1028" s="64" t="str">
        <x:v>P5</x:v>
      </x:c>
      <x:c r="D1028" s="64" t="n">
        <x:v>1</x:v>
      </x:c>
      <x:c r="E1028" s="29" t="str">
        <x:v>Check whether the old goal still belongs to the life you want now.</x:v>
      </x:c>
      <x:c r="F1028" s="29" t="str">
        <x:v>Slide 1 of 6. Check whether the old goal still belongs to the life you want now.</x:v>
      </x:c>
      <x:c r="G1028" s="29" t="str">
        <x:v>checklist</x:v>
      </x:c>
      <x:c r="H1028" s="29" t="str">
        <x:v>Draft — owner review</x:v>
      </x:c>
    </x:row>
    <x:row r="1029" ht="84" customHeight="1">
      <x:c r="A1029" s="29" t="str">
        <x:v>BTB-172</x:v>
      </x:c>
      <x:c r="B1029" s="62" t="n">
        <x:v>46494</x:v>
      </x:c>
      <x:c r="C1029" s="64" t="str">
        <x:v>P5</x:v>
      </x:c>
      <x:c r="D1029" s="64" t="n">
        <x:v>2</x:v>
      </x:c>
      <x:c r="E1029" s="29" t="str">
        <x:v>You may be working hard toward something chosen before your circumstances or priorities changed.</x:v>
      </x:c>
      <x:c r="F1029" s="29" t="str">
        <x:v>Slide 2 of 6. You may be working hard toward something chosen before your circumstances or priorities changed.</x:v>
      </x:c>
      <x:c r="G1029" s="29" t="str">
        <x:v>checklist</x:v>
      </x:c>
      <x:c r="H1029" s="29" t="str">
        <x:v>Draft — owner review</x:v>
      </x:c>
    </x:row>
    <x:row r="1030" ht="84" customHeight="1">
      <x:c r="A1030" s="29" t="str">
        <x:v>BTB-172</x:v>
      </x:c>
      <x:c r="B1030" s="62" t="n">
        <x:v>46494</x:v>
      </x:c>
      <x:c r="C1030" s="64" t="str">
        <x:v>P5</x:v>
      </x:c>
      <x:c r="D1030" s="64" t="n">
        <x:v>3</x:v>
      </x:c>
      <x:c r="E1030" s="29" t="str">
        <x:v>Ask why you wanted it, what it would provide now, and what continuing requires.</x:v>
      </x:c>
      <x:c r="F1030" s="29" t="str">
        <x:v>Slide 3 of 6. Ask why you wanted it, what it would provide now, and what continuing requires.</x:v>
      </x:c>
      <x:c r="G1030" s="29" t="str">
        <x:v>checklist</x:v>
      </x:c>
      <x:c r="H1030" s="29" t="str">
        <x:v>Draft — owner review</x:v>
      </x:c>
    </x:row>
    <x:row r="1031" ht="84" customHeight="1">
      <x:c r="A1031" s="29" t="str">
        <x:v>BTB-172</x:v>
      </x:c>
      <x:c r="B1031" s="62" t="n">
        <x:v>46494</x:v>
      </x:c>
      <x:c r="C1031" s="64" t="str">
        <x:v>P5</x:v>
      </x:c>
      <x:c r="D1031" s="64" t="n">
        <x:v>4</x:v>
      </x:c>
      <x:c r="E1031" s="29" t="str">
        <x:v>Keep the goal, revise it, or investigate an alternative. Use appropriate advice where obligations or significant money are involved.</x:v>
      </x:c>
      <x:c r="F1031" s="29" t="str">
        <x:v>Slide 4 of 6. Keep the goal, revise it, or investigate an alternative. Use appropriate advice where obligations or significant money are involved.</x:v>
      </x:c>
      <x:c r="G1031" s="29" t="str">
        <x:v>checklist</x:v>
      </x:c>
      <x:c r="H1031" s="29" t="str">
        <x:v>Draft — owner review</x:v>
      </x:c>
    </x:row>
    <x:row r="1032" ht="84" customHeight="1">
      <x:c r="A1032" s="29" t="str">
        <x:v>BTB-172</x:v>
      </x:c>
      <x:c r="B1032" s="62" t="n">
        <x:v>46494</x:v>
      </x:c>
      <x:c r="C1032" s="64" t="str">
        <x:v>P5</x:v>
      </x:c>
      <x:c r="D1032" s="64" t="n">
        <x:v>5</x:v>
      </x:c>
      <x:c r="E1032" s="29" t="str">
        <x:v>Changing direction does not have to mean the earlier effort was worthless.</x:v>
      </x:c>
      <x:c r="F1032" s="29" t="str">
        <x:v>Slide 5 of 6. Changing direction does not have to mean the earlier effort was worthless.</x:v>
      </x:c>
      <x:c r="G1032" s="29" t="str">
        <x:v>checklist</x:v>
      </x:c>
      <x:c r="H1032" s="29" t="str">
        <x:v>Draft — owner review</x:v>
      </x:c>
    </x:row>
    <x:row r="1033" ht="84" customHeight="1">
      <x:c r="A1033" s="29" t="str">
        <x:v>BTB-172</x:v>
      </x:c>
      <x:c r="B1033" s="62" t="n">
        <x:v>46494</x:v>
      </x:c>
      <x:c r="C1033" s="64" t="str">
        <x:v>P5</x:v>
      </x:c>
      <x:c r="D1033" s="64" t="n">
        <x:v>6</x:v>
      </x:c>
      <x:c r="E1033" s="29" t="str">
        <x:v>Save this for a goal you keep pursuing mainly because you once announced it.</x:v>
      </x:c>
      <x:c r="F1033" s="29" t="str">
        <x:v>Slide 6 of 6. Save this for a goal you keep pursuing mainly because you once announced it.</x:v>
      </x:c>
      <x:c r="G1033" s="29" t="str">
        <x:v>checklist</x:v>
      </x:c>
      <x:c r="H1033" s="29" t="str">
        <x:v>Draft — owner review</x:v>
      </x:c>
    </x:row>
    <x:row r="1034" ht="84" customHeight="1">
      <x:c r="A1034" s="29" t="str">
        <x:v>BTB-173</x:v>
      </x:c>
      <x:c r="B1034" s="62" t="n">
        <x:v>46495</x:v>
      </x:c>
      <x:c r="C1034" s="64" t="str">
        <x:v>P1</x:v>
      </x:c>
      <x:c r="D1034" s="64" t="n">
        <x:v>1</x:v>
      </x:c>
      <x:c r="E1034" s="29" t="str">
        <x:v>You can be building well and still have an unfinished problem.</x:v>
      </x:c>
      <x:c r="F1034" s="29" t="str">
        <x:v>Slide 1 of 6. You can be building well and still have an unfinished problem.</x:v>
      </x:c>
      <x:c r="G1034" s="29" t="str">
        <x:v>editorial</x:v>
      </x:c>
      <x:c r="H1034" s="29" t="str">
        <x:v>Draft — owner review</x:v>
      </x:c>
    </x:row>
    <x:row r="1035" ht="84" customHeight="1">
      <x:c r="A1035" s="29" t="str">
        <x:v>BTB-173</x:v>
      </x:c>
      <x:c r="B1035" s="62" t="n">
        <x:v>46495</x:v>
      </x:c>
      <x:c r="C1035" s="64" t="str">
        <x:v>P1</x:v>
      </x:c>
      <x:c r="D1035" s="64" t="n">
        <x:v>2</x:v>
      </x:c>
      <x:c r="E1035" s="29" t="str">
        <x:v>An unresolved legal, financial, or personal matter does not automatically cancel progress elsewhere.</x:v>
      </x:c>
      <x:c r="F1035" s="29" t="str">
        <x:v>Slide 2 of 6. An unresolved legal, financial, or personal matter does not automatically cancel progress elsewhere.</x:v>
      </x:c>
      <x:c r="G1035" s="29" t="str">
        <x:v>editorial</x:v>
      </x:c>
      <x:c r="H1035" s="29" t="str">
        <x:v>Draft — owner review</x:v>
      </x:c>
    </x:row>
    <x:row r="1036" ht="84" customHeight="1">
      <x:c r="A1036" s="29" t="str">
        <x:v>BTB-173</x:v>
      </x:c>
      <x:c r="B1036" s="62" t="n">
        <x:v>46495</x:v>
      </x:c>
      <x:c r="C1036" s="64" t="str">
        <x:v>P1</x:v>
      </x:c>
      <x:c r="D1036" s="64" t="n">
        <x:v>3</x:v>
      </x:c>
      <x:c r="E1036" s="29" t="str">
        <x:v>Keep dealing with the matter through the appropriate process. Do not pretend it has disappeared.</x:v>
      </x:c>
      <x:c r="F1036" s="29" t="str">
        <x:v>Slide 3 of 6. Keep dealing with the matter through the appropriate process. Do not pretend it has disappeared.</x:v>
      </x:c>
      <x:c r="G1036" s="29" t="str">
        <x:v>editorial</x:v>
      </x:c>
      <x:c r="H1036" s="29" t="str">
        <x:v>Draft — owner review</x:v>
      </x:c>
    </x:row>
    <x:row r="1037" ht="84" customHeight="1">
      <x:c r="A1037" s="29" t="str">
        <x:v>BTB-173</x:v>
      </x:c>
      <x:c r="B1037" s="62" t="n">
        <x:v>46495</x:v>
      </x:c>
      <x:c r="C1037" s="64" t="str">
        <x:v>P1</x:v>
      </x:c>
      <x:c r="D1037" s="64" t="n">
        <x:v>4</x:v>
      </x:c>
      <x:c r="E1037" s="29" t="str">
        <x:v>Also notice what is functioning better, what support exists, and what you are handling differently.</x:v>
      </x:c>
      <x:c r="F1037" s="29" t="str">
        <x:v>Slide 4 of 6. Also notice what is functioning better, what support exists, and what you are handling differently.</x:v>
      </x:c>
      <x:c r="G1037" s="29" t="str">
        <x:v>editorial</x:v>
      </x:c>
      <x:c r="H1037" s="29" t="str">
        <x:v>Draft — owner review</x:v>
      </x:c>
    </x:row>
    <x:row r="1038" ht="84" customHeight="1">
      <x:c r="A1038" s="29" t="str">
        <x:v>BTB-173</x:v>
      </x:c>
      <x:c r="B1038" s="62" t="n">
        <x:v>46495</x:v>
      </x:c>
      <x:c r="C1038" s="64" t="str">
        <x:v>P1</x:v>
      </x:c>
      <x:c r="D1038" s="64" t="n">
        <x:v>5</x:v>
      </x:c>
      <x:c r="E1038" s="29" t="str">
        <x:v>A complete account can include improvement and difficulty without forcing either to win.</x:v>
      </x:c>
      <x:c r="F1038" s="29" t="str">
        <x:v>Slide 5 of 6. A complete account can include improvement and difficulty without forcing either to win.</x:v>
      </x:c>
      <x:c r="G1038" s="29" t="str">
        <x:v>editorial</x:v>
      </x:c>
      <x:c r="H1038" s="29" t="str">
        <x:v>Draft — owner review</x:v>
      </x:c>
    </x:row>
    <x:row r="1039" ht="84" customHeight="1">
      <x:c r="A1039" s="29" t="str">
        <x:v>BTB-173</x:v>
      </x:c>
      <x:c r="B1039" s="62" t="n">
        <x:v>46495</x:v>
      </x:c>
      <x:c r="C1039" s="64" t="str">
        <x:v>P1</x:v>
      </x:c>
      <x:c r="D1039" s="64" t="n">
        <x:v>6</x:v>
      </x:c>
      <x:c r="E1039" s="29" t="str">
        <x:v>Send this to someone who refuses to recognise any progress until everything is resolved.</x:v>
      </x:c>
      <x:c r="F1039" s="29" t="str">
        <x:v>Slide 6 of 6. Send this to someone who refuses to recognise any progress until everything is resolved.</x:v>
      </x:c>
      <x:c r="G1039" s="29" t="str">
        <x:v>editorial</x:v>
      </x:c>
      <x:c r="H1039" s="29" t="str">
        <x:v>Draft — owner review</x:v>
      </x:c>
    </x:row>
    <x:row r="1040" ht="84" customHeight="1">
      <x:c r="A1040" s="29" t="str">
        <x:v>BTB-174</x:v>
      </x:c>
      <x:c r="B1040" s="62" t="n">
        <x:v>46496</x:v>
      </x:c>
      <x:c r="C1040" s="64" t="str">
        <x:v>P2</x:v>
      </x:c>
      <x:c r="D1040" s="64" t="n">
        <x:v>1</x:v>
      </x:c>
      <x:c r="E1040" s="29" t="str">
        <x:v>Ask whether you are thinking toward a decision or circling the same question.</x:v>
      </x:c>
      <x:c r="F1040" s="29" t="str">
        <x:v>Slide 1 of 6. Ask whether you are thinking toward a decision or circling the same question.</x:v>
      </x:c>
      <x:c r="G1040" s="29" t="str">
        <x:v>checklist</x:v>
      </x:c>
      <x:c r="H1040" s="29" t="str">
        <x:v>Draft — owner review</x:v>
      </x:c>
    </x:row>
    <x:row r="1041" ht="84" customHeight="1">
      <x:c r="A1041" s="29" t="str">
        <x:v>BTB-174</x:v>
      </x:c>
      <x:c r="B1041" s="62" t="n">
        <x:v>46496</x:v>
      </x:c>
      <x:c r="C1041" s="64" t="str">
        <x:v>P2</x:v>
      </x:c>
      <x:c r="D1041" s="64" t="n">
        <x:v>2</x:v>
      </x:c>
      <x:c r="E1041" s="29" t="str">
        <x:v>Reflection can produce information, a clearer feeling, or a next step. Repetition may leave you in exactly the same place.</x:v>
      </x:c>
      <x:c r="F1041" s="29" t="str">
        <x:v>Slide 2 of 6. Reflection can produce information, a clearer feeling, or a next step. Repetition may leave you in exactly the same place.</x:v>
      </x:c>
      <x:c r="G1041" s="29" t="str">
        <x:v>checklist</x:v>
      </x:c>
      <x:c r="H1041" s="29" t="str">
        <x:v>Draft — owner review</x:v>
      </x:c>
    </x:row>
    <x:row r="1042" ht="84" customHeight="1">
      <x:c r="A1042" s="29" t="str">
        <x:v>BTB-174</x:v>
      </x:c>
      <x:c r="B1042" s="62" t="n">
        <x:v>46496</x:v>
      </x:c>
      <x:c r="C1042" s="64" t="str">
        <x:v>P2</x:v>
      </x:c>
      <x:c r="D1042" s="64" t="n">
        <x:v>3</x:v>
      </x:c>
      <x:c r="E1042" s="29" t="str">
        <x:v>Write what has become clearer and what is still missing.</x:v>
      </x:c>
      <x:c r="F1042" s="29" t="str">
        <x:v>Slide 3 of 6. Write what has become clearer and what is still missing.</x:v>
      </x:c>
      <x:c r="G1042" s="29" t="str">
        <x:v>checklist</x:v>
      </x:c>
      <x:c r="H1042" s="29" t="str">
        <x:v>Draft — owner review</x:v>
      </x:c>
    </x:row>
    <x:row r="1043" ht="84" customHeight="1">
      <x:c r="A1043" s="29" t="str">
        <x:v>BTB-174</x:v>
      </x:c>
      <x:c r="B1043" s="62" t="n">
        <x:v>46496</x:v>
      </x:c>
      <x:c r="C1043" s="64" t="str">
        <x:v>P2</x:v>
      </x:c>
      <x:c r="D1043" s="64" t="n">
        <x:v>4</x:v>
      </x:c>
      <x:c r="E1043" s="29" t="str">
        <x:v>If nothing new is emerging, consider another source of information, a trusted conversation, or an appropriate pause.</x:v>
      </x:c>
      <x:c r="F1043" s="29" t="str">
        <x:v>Slide 4 of 6. If nothing new is emerging, consider another source of information, a trusted conversation, or an appropriate pause.</x:v>
      </x:c>
      <x:c r="G1043" s="29" t="str">
        <x:v>checklist</x:v>
      </x:c>
      <x:c r="H1043" s="29" t="str">
        <x:v>Draft — owner review</x:v>
      </x:c>
    </x:row>
    <x:row r="1044" ht="84" customHeight="1">
      <x:c r="A1044" s="29" t="str">
        <x:v>BTB-174</x:v>
      </x:c>
      <x:c r="B1044" s="62" t="n">
        <x:v>46496</x:v>
      </x:c>
      <x:c r="C1044" s="64" t="str">
        <x:v>P2</x:v>
      </x:c>
      <x:c r="D1044" s="64" t="n">
        <x:v>5</x:v>
      </x:c>
      <x:c r="E1044" s="29" t="str">
        <x:v>Persistent distress deserves qualified support. You do not have to turn every difficult loop into a solo reasoning exercise.</x:v>
      </x:c>
      <x:c r="F1044" s="29" t="str">
        <x:v>Slide 5 of 6. Persistent distress deserves qualified support. You do not have to turn every difficult loop into a solo reasoning exercise.</x:v>
      </x:c>
      <x:c r="G1044" s="29" t="str">
        <x:v>checklist</x:v>
      </x:c>
      <x:c r="H1044" s="29" t="str">
        <x:v>Draft — owner review</x:v>
      </x:c>
    </x:row>
    <x:row r="1045" ht="84" customHeight="1">
      <x:c r="A1045" s="29" t="str">
        <x:v>BTB-174</x:v>
      </x:c>
      <x:c r="B1045" s="62" t="n">
        <x:v>46496</x:v>
      </x:c>
      <x:c r="C1045" s="64" t="str">
        <x:v>P2</x:v>
      </x:c>
      <x:c r="D1045" s="64" t="n">
        <x:v>6</x:v>
      </x:c>
      <x:c r="E1045" s="29" t="str">
        <x:v>Save this for the question that has occupied hours without becoming more answerable.</x:v>
      </x:c>
      <x:c r="F1045" s="29" t="str">
        <x:v>Slide 6 of 6. Save this for the question that has occupied hours without becoming more answerable.</x:v>
      </x:c>
      <x:c r="G1045" s="29" t="str">
        <x:v>checklist</x:v>
      </x:c>
      <x:c r="H1045" s="29" t="str">
        <x:v>Draft — owner review</x:v>
      </x:c>
    </x:row>
    <x:row r="1046" ht="84" customHeight="1">
      <x:c r="A1046" s="29" t="str">
        <x:v>BTB-175</x:v>
      </x:c>
      <x:c r="B1046" s="62" t="n">
        <x:v>46497</x:v>
      </x:c>
      <x:c r="C1046" s="64" t="str">
        <x:v>P3</x:v>
      </x:c>
      <x:c r="D1046" s="64" t="n">
        <x:v>1</x:v>
      </x:c>
      <x:c r="E1046" s="29" t="str">
        <x:v>When another adult criticises the other parent in front of your child, interrupt the topic.</x:v>
      </x:c>
      <x:c r="F1046" s="29" t="str">
        <x:v>Slide 1 of 6. When another adult criticises the other parent in front of your child, interrupt the topic.</x:v>
      </x:c>
      <x:c r="G1046" s="29" t="str">
        <x:v>script</x:v>
      </x:c>
      <x:c r="H1046" s="29" t="str">
        <x:v>Draft — owner review</x:v>
      </x:c>
    </x:row>
    <x:row r="1047" ht="84" customHeight="1">
      <x:c r="A1047" s="29" t="str">
        <x:v>BTB-175</x:v>
      </x:c>
      <x:c r="B1047" s="62" t="n">
        <x:v>46497</x:v>
      </x:c>
      <x:c r="C1047" s="64" t="str">
        <x:v>P3</x:v>
      </x:c>
      <x:c r="D1047" s="64" t="n">
        <x:v>2</x:v>
      </x:c>
      <x:c r="E1047" s="29" t="str">
        <x:v>You do not need to agree publicly just because the criticism appears to support your side.</x:v>
      </x:c>
      <x:c r="F1047" s="29" t="str">
        <x:v>Slide 2 of 6. You do not need to agree publicly just because the criticism appears to support your side.</x:v>
      </x:c>
      <x:c r="G1047" s="29" t="str">
        <x:v>script</x:v>
      </x:c>
      <x:c r="H1047" s="29" t="str">
        <x:v>Draft — owner review</x:v>
      </x:c>
    </x:row>
    <x:row r="1048" ht="84" customHeight="1">
      <x:c r="A1048" s="29" t="str">
        <x:v>BTB-175</x:v>
      </x:c>
      <x:c r="B1048" s="62" t="n">
        <x:v>46497</x:v>
      </x:c>
      <x:c r="C1048" s="64" t="str">
        <x:v>P3</x:v>
      </x:c>
      <x:c r="D1048" s="64" t="n">
        <x:v>3</x:v>
      </x:c>
      <x:c r="E1048" s="29" t="str">
        <x:v>Try: “Let's keep adult concerns out of this conversation. We can speak privately if something needs attention.”</x:v>
      </x:c>
      <x:c r="F1048" s="29" t="str">
        <x:v>Slide 3 of 6. Try: “Let's keep adult concerns out of this conversation. We can speak privately if something needs attention.”</x:v>
      </x:c>
      <x:c r="G1048" s="29" t="str">
        <x:v>script</x:v>
      </x:c>
      <x:c r="H1048" s="29" t="str">
        <x:v>Draft — owner review</x:v>
      </x:c>
    </x:row>
    <x:row r="1049" ht="84" customHeight="1">
      <x:c r="A1049" s="29" t="str">
        <x:v>BTB-175</x:v>
      </x:c>
      <x:c r="B1049" s="62" t="n">
        <x:v>46497</x:v>
      </x:c>
      <x:c r="C1049" s="64" t="str">
        <x:v>P3</x:v>
      </x:c>
      <x:c r="D1049" s="64" t="n">
        <x:v>4</x:v>
      </x:c>
      <x:c r="E1049" s="29" t="str">
        <x:v>Move to an appropriate subject. Keep any genuine safeguarding concern in the proper professional channel.</x:v>
      </x:c>
      <x:c r="F1049" s="29" t="str">
        <x:v>Slide 4 of 6. Move to an appropriate subject. Keep any genuine safeguarding concern in the proper professional channel.</x:v>
      </x:c>
      <x:c r="G1049" s="29" t="str">
        <x:v>script</x:v>
      </x:c>
      <x:c r="H1049" s="29" t="str">
        <x:v>Draft — owner review</x:v>
      </x:c>
    </x:row>
    <x:row r="1050" ht="84" customHeight="1">
      <x:c r="A1050" s="29" t="str">
        <x:v>BTB-175</x:v>
      </x:c>
      <x:c r="B1050" s="62" t="n">
        <x:v>46497</x:v>
      </x:c>
      <x:c r="C1050" s="64" t="str">
        <x:v>P3</x:v>
      </x:c>
      <x:c r="D1050" s="64" t="n">
        <x:v>5</x:v>
      </x:c>
      <x:c r="E1050" s="29" t="str">
        <x:v>Protecting the child from adult criticism is different from denying a real safety issue.</x:v>
      </x:c>
      <x:c r="F1050" s="29" t="str">
        <x:v>Slide 5 of 6. Protecting the child from adult criticism is different from denying a real safety issue.</x:v>
      </x:c>
      <x:c r="G1050" s="29" t="str">
        <x:v>script</x:v>
      </x:c>
      <x:c r="H1050" s="29" t="str">
        <x:v>Draft — owner review</x:v>
      </x:c>
    </x:row>
    <x:row r="1051" ht="84" customHeight="1">
      <x:c r="A1051" s="29" t="str">
        <x:v>BTB-175</x:v>
      </x:c>
      <x:c r="B1051" s="62" t="n">
        <x:v>46497</x:v>
      </x:c>
      <x:c r="C1051" s="64" t="str">
        <x:v>P3</x:v>
      </x:c>
      <x:c r="D1051" s="64" t="n">
        <x:v>6</x:v>
      </x:c>
      <x:c r="E1051" s="29" t="str">
        <x:v>Save the sentence for a moment when support for you starts becoming a burden for your child.</x:v>
      </x:c>
      <x:c r="F1051" s="29" t="str">
        <x:v>Slide 6 of 6. Save the sentence for a moment when support for you starts becoming a burden for your child.</x:v>
      </x:c>
      <x:c r="G1051" s="29" t="str">
        <x:v>script</x:v>
      </x:c>
      <x:c r="H1051" s="29" t="str">
        <x:v>Draft — owner review</x:v>
      </x:c>
    </x:row>
    <x:row r="1052" ht="84" customHeight="1">
      <x:c r="A1052" s="29" t="str">
        <x:v>BTB-176</x:v>
      </x:c>
      <x:c r="B1052" s="62" t="n">
        <x:v>46498</x:v>
      </x:c>
      <x:c r="C1052" s="64" t="str">
        <x:v>P4</x:v>
      </x:c>
      <x:c r="D1052" s="64" t="n">
        <x:v>1</x:v>
      </x:c>
      <x:c r="E1052" s="29" t="str">
        <x:v>A healthier choice may feel unfamiliar before it feels natural.</x:v>
      </x:c>
      <x:c r="F1052" s="29" t="str">
        <x:v>Slide 1 of 6. A healthier choice may feel unfamiliar before it feels natural.</x:v>
      </x:c>
      <x:c r="G1052" s="29" t="str">
        <x:v>editorial</x:v>
      </x:c>
      <x:c r="H1052" s="29" t="str">
        <x:v>Draft — owner review</x:v>
      </x:c>
    </x:row>
    <x:row r="1053" ht="84" customHeight="1">
      <x:c r="A1053" s="29" t="str">
        <x:v>BTB-176</x:v>
      </x:c>
      <x:c r="B1053" s="62" t="n">
        <x:v>46498</x:v>
      </x:c>
      <x:c r="C1053" s="64" t="str">
        <x:v>P4</x:v>
      </x:c>
      <x:c r="D1053" s="64" t="n">
        <x:v>2</x:v>
      </x:c>
      <x:c r="E1053" s="29" t="str">
        <x:v>You may be practising a clearer request, a slower commitment, or a limit you previously struggled to express.</x:v>
      </x:c>
      <x:c r="F1053" s="29" t="str">
        <x:v>Slide 2 of 6. You may be practising a clearer request, a slower commitment, or a limit you previously struggled to express.</x:v>
      </x:c>
      <x:c r="G1053" s="29" t="str">
        <x:v>editorial</x:v>
      </x:c>
      <x:c r="H1053" s="29" t="str">
        <x:v>Draft — owner review</x:v>
      </x:c>
    </x:row>
    <x:row r="1054" ht="84" customHeight="1">
      <x:c r="A1054" s="29" t="str">
        <x:v>BTB-176</x:v>
      </x:c>
      <x:c r="B1054" s="62" t="n">
        <x:v>46498</x:v>
      </x:c>
      <x:c r="C1054" s="64" t="str">
        <x:v>P4</x:v>
      </x:c>
      <x:c r="D1054" s="64" t="n">
        <x:v>3</x:v>
      </x:c>
      <x:c r="E1054" s="29" t="str">
        <x:v>Do not decide whether it is appropriate only by whether it feels comfortable immediately.</x:v>
      </x:c>
      <x:c r="F1054" s="29" t="str">
        <x:v>Slide 3 of 6. Do not decide whether it is appropriate only by whether it feels comfortable immediately.</x:v>
      </x:c>
      <x:c r="G1054" s="29" t="str">
        <x:v>editorial</x:v>
      </x:c>
      <x:c r="H1054" s="29" t="str">
        <x:v>Draft — owner review</x:v>
      </x:c>
    </x:row>
    <x:row r="1055" ht="84" customHeight="1">
      <x:c r="A1055" s="29" t="str">
        <x:v>BTB-176</x:v>
      </x:c>
      <x:c r="B1055" s="62" t="n">
        <x:v>46498</x:v>
      </x:c>
      <x:c r="C1055" s="64" t="str">
        <x:v>P4</x:v>
      </x:c>
      <x:c r="D1055" s="64" t="n">
        <x:v>4</x:v>
      </x:c>
      <x:c r="E1055" s="29" t="str">
        <x:v>Check the facts: is it respectful, safe, realistic, and consistent with your responsibilities?</x:v>
      </x:c>
      <x:c r="F1055" s="29" t="str">
        <x:v>Slide 4 of 6. Check the facts: is it respectful, safe, realistic, and consistent with your responsibilities?</x:v>
      </x:c>
      <x:c r="G1055" s="29" t="str">
        <x:v>editorial</x:v>
      </x:c>
      <x:c r="H1055" s="29" t="str">
        <x:v>Draft — owner review</x:v>
      </x:c>
    </x:row>
    <x:row r="1056" ht="84" customHeight="1">
      <x:c r="A1056" s="29" t="str">
        <x:v>BTB-176</x:v>
      </x:c>
      <x:c r="B1056" s="62" t="n">
        <x:v>46498</x:v>
      </x:c>
      <x:c r="C1056" s="64" t="str">
        <x:v>P4</x:v>
      </x:c>
      <x:c r="D1056" s="64" t="n">
        <x:v>5</x:v>
      </x:c>
      <x:c r="E1056" s="29" t="str">
        <x:v>Seek perspective when unsure. Unfamiliar discomfort is not proof of growth, and comfort is not proof of safety.</x:v>
      </x:c>
      <x:c r="F1056" s="29" t="str">
        <x:v>Slide 5 of 6. Seek perspective when unsure. Unfamiliar discomfort is not proof of growth, and comfort is not proof of safety.</x:v>
      </x:c>
      <x:c r="G1056" s="29" t="str">
        <x:v>editorial</x:v>
      </x:c>
      <x:c r="H1056" s="29" t="str">
        <x:v>Draft — owner review</x:v>
      </x:c>
    </x:row>
    <x:row r="1057" ht="84" customHeight="1">
      <x:c r="A1057" s="29" t="str">
        <x:v>BTB-176</x:v>
      </x:c>
      <x:c r="B1057" s="62" t="n">
        <x:v>46498</x:v>
      </x:c>
      <x:c r="C1057" s="64" t="str">
        <x:v>P4</x:v>
      </x:c>
      <x:c r="D1057" s="64" t="n">
        <x:v>6</x:v>
      </x:c>
      <x:c r="E1057" s="29" t="str">
        <x:v>Share this with someone learning to evaluate a choice by more than its first feeling.</x:v>
      </x:c>
      <x:c r="F1057" s="29" t="str">
        <x:v>Slide 6 of 6. Share this with someone learning to evaluate a choice by more than its first feeling.</x:v>
      </x:c>
      <x:c r="G1057" s="29" t="str">
        <x:v>editorial</x:v>
      </x:c>
      <x:c r="H1057" s="29" t="str">
        <x:v>Draft — owner review</x:v>
      </x:c>
    </x:row>
    <x:row r="1058" ht="84" customHeight="1">
      <x:c r="A1058" s="29" t="str">
        <x:v>BTB-177</x:v>
      </x:c>
      <x:c r="B1058" s="62" t="n">
        <x:v>46499</x:v>
      </x:c>
      <x:c r="C1058" s="64" t="str">
        <x:v>P5</x:v>
      </x:c>
      <x:c r="D1058" s="64" t="n">
        <x:v>1</x:v>
      </x:c>
      <x:c r="E1058" s="29" t="str">
        <x:v>Measure the rebuild by what matters—not only what looks impressive.</x:v>
      </x:c>
      <x:c r="F1058" s="29" t="str">
        <x:v>Slide 1 of 6. Measure the rebuild by what matters—not only what looks impressive.</x:v>
      </x:c>
      <x:c r="G1058" s="29" t="str">
        <x:v>checklist</x:v>
      </x:c>
      <x:c r="H1058" s="29" t="str">
        <x:v>Draft — owner review</x:v>
      </x:c>
    </x:row>
    <x:row r="1059" ht="84" customHeight="1">
      <x:c r="A1059" s="29" t="str">
        <x:v>BTB-177</x:v>
      </x:c>
      <x:c r="B1059" s="62" t="n">
        <x:v>46499</x:v>
      </x:c>
      <x:c r="C1059" s="64" t="str">
        <x:v>P5</x:v>
      </x:c>
      <x:c r="D1059" s="64" t="n">
        <x:v>2</x:v>
      </x:c>
      <x:c r="E1059" s="29" t="str">
        <x:v>Consider whether daily tasks are more workable, support is easier to access, and commitments are more realistic.</x:v>
      </x:c>
      <x:c r="F1059" s="29" t="str">
        <x:v>Slide 2 of 6. Consider whether daily tasks are more workable, support is easier to access, and commitments are more realistic.</x:v>
      </x:c>
      <x:c r="G1059" s="29" t="str">
        <x:v>checklist</x:v>
      </x:c>
      <x:c r="H1059" s="29" t="str">
        <x:v>Draft — owner review</x:v>
      </x:c>
    </x:row>
    <x:row r="1060" ht="84" customHeight="1">
      <x:c r="A1060" s="29" t="str">
        <x:v>BTB-177</x:v>
      </x:c>
      <x:c r="B1060" s="62" t="n">
        <x:v>46499</x:v>
      </x:c>
      <x:c r="C1060" s="64" t="str">
        <x:v>P5</x:v>
      </x:c>
      <x:c r="D1060" s="64" t="n">
        <x:v>3</x:v>
      </x:c>
      <x:c r="E1060" s="29" t="str">
        <x:v>Notice the decisions you can explain honestly, including the ones that did not produce the outcome you wanted.</x:v>
      </x:c>
      <x:c r="F1060" s="29" t="str">
        <x:v>Slide 3 of 6. Notice the decisions you can explain honestly, including the ones that did not produce the outcome you wanted.</x:v>
      </x:c>
      <x:c r="G1060" s="29" t="str">
        <x:v>checklist</x:v>
      </x:c>
      <x:c r="H1060" s="29" t="str">
        <x:v>Draft — owner review</x:v>
      </x:c>
    </x:row>
    <x:row r="1061" ht="84" customHeight="1">
      <x:c r="A1061" s="29" t="str">
        <x:v>BTB-177</x:v>
      </x:c>
      <x:c r="B1061" s="62" t="n">
        <x:v>46499</x:v>
      </x:c>
      <x:c r="C1061" s="64" t="str">
        <x:v>P5</x:v>
      </x:c>
      <x:c r="D1061" s="64" t="n">
        <x:v>4</x:v>
      </x:c>
      <x:c r="E1061" s="29" t="str">
        <x:v>Choose one area that still needs attention and define the next practical step.</x:v>
      </x:c>
      <x:c r="F1061" s="29" t="str">
        <x:v>Slide 4 of 6. Choose one area that still needs attention and define the next practical step.</x:v>
      </x:c>
      <x:c r="G1061" s="29" t="str">
        <x:v>checklist</x:v>
      </x:c>
      <x:c r="H1061" s="29" t="str">
        <x:v>Draft — owner review</x:v>
      </x:c>
    </x:row>
    <x:row r="1062" ht="84" customHeight="1">
      <x:c r="A1062" s="29" t="str">
        <x:v>BTB-177</x:v>
      </x:c>
      <x:c r="B1062" s="62" t="n">
        <x:v>46499</x:v>
      </x:c>
      <x:c r="C1062" s="64" t="str">
        <x:v>P5</x:v>
      </x:c>
      <x:c r="D1062" s="64" t="n">
        <x:v>5</x:v>
      </x:c>
      <x:c r="E1062" s="29" t="str">
        <x:v>Do not turn this into a score for how recovered you should be. It is a review of what your life needs next.</x:v>
      </x:c>
      <x:c r="F1062" s="29" t="str">
        <x:v>Slide 5 of 6. Do not turn this into a score for how recovered you should be. It is a review of what your life needs next.</x:v>
      </x:c>
      <x:c r="G1062" s="29" t="str">
        <x:v>checklist</x:v>
      </x:c>
      <x:c r="H1062" s="29" t="str">
        <x:v>Draft — owner review</x:v>
      </x:c>
    </x:row>
    <x:row r="1063" ht="84" customHeight="1">
      <x:c r="A1063" s="29" t="str">
        <x:v>BTB-177</x:v>
      </x:c>
      <x:c r="B1063" s="62" t="n">
        <x:v>46499</x:v>
      </x:c>
      <x:c r="C1063" s="64" t="str">
        <x:v>P5</x:v>
      </x:c>
      <x:c r="D1063" s="64" t="n">
        <x:v>6</x:v>
      </x:c>
      <x:c r="E1063" s="29" t="str">
        <x:v>Save these questions for a progress check that is not based on someone else's highlight reel.</x:v>
      </x:c>
      <x:c r="F1063" s="29" t="str">
        <x:v>Slide 6 of 6. Save these questions for a progress check that is not based on someone else's highlight reel.</x:v>
      </x:c>
      <x:c r="G1063" s="29" t="str">
        <x:v>checklist</x:v>
      </x:c>
      <x:c r="H1063" s="29" t="str">
        <x:v>Draft — owner review</x:v>
      </x:c>
    </x:row>
    <x:row r="1064" ht="84" customHeight="1">
      <x:c r="A1064" s="29" t="str">
        <x:v>BTB-178</x:v>
      </x:c>
      <x:c r="B1064" s="62" t="n">
        <x:v>46500</x:v>
      </x:c>
      <x:c r="C1064" s="64" t="str">
        <x:v>P1</x:v>
      </x:c>
      <x:c r="D1064" s="64" t="n">
        <x:v>1</x:v>
      </x:c>
      <x:c r="E1064" s="29" t="str">
        <x:v>Missing the past today does not erase the life you are building now.</x:v>
      </x:c>
      <x:c r="F1064" s="29" t="str">
        <x:v>Slide 1 of 6. Missing the past today does not erase the life you are building now.</x:v>
      </x:c>
      <x:c r="G1064" s="29" t="str">
        <x:v>contrast</x:v>
      </x:c>
      <x:c r="H1064" s="29" t="str">
        <x:v>Draft — owner review</x:v>
      </x:c>
    </x:row>
    <x:row r="1065" ht="84" customHeight="1">
      <x:c r="A1065" s="29" t="str">
        <x:v>BTB-178</x:v>
      </x:c>
      <x:c r="B1065" s="62" t="n">
        <x:v>46500</x:v>
      </x:c>
      <x:c r="C1065" s="64" t="str">
        <x:v>P1</x:v>
      </x:c>
      <x:c r="D1065" s="64" t="n">
        <x:v>2</x:v>
      </x:c>
      <x:c r="E1065" s="29" t="str">
        <x:v>An old song, a place, or an ordinary memory can bring back something meaningful.</x:v>
      </x:c>
      <x:c r="F1065" s="29" t="str">
        <x:v>Slide 2 of 6. An old song, a place, or an ordinary memory can bring back something meaningful.</x:v>
      </x:c>
      <x:c r="G1065" s="29" t="str">
        <x:v>contrast</x:v>
      </x:c>
      <x:c r="H1065" s="29" t="str">
        <x:v>Draft — owner review</x:v>
      </x:c>
    </x:row>
    <x:row r="1066" ht="84" customHeight="1">
      <x:c r="A1066" s="29" t="str">
        <x:v>BTB-178</x:v>
      </x:c>
      <x:c r="B1066" s="62" t="n">
        <x:v>46500</x:v>
      </x:c>
      <x:c r="C1066" s="64" t="str">
        <x:v>P1</x:v>
      </x:c>
      <x:c r="D1066" s="64" t="n">
        <x:v>3</x:v>
      </x:c>
      <x:c r="E1066" s="29" t="str">
        <x:v>You can acknowledge it without treating the feeling as a command to reverse every decision.</x:v>
      </x:c>
      <x:c r="F1066" s="29" t="str">
        <x:v>Slide 3 of 6. You can acknowledge it without treating the feeling as a command to reverse every decision.</x:v>
      </x:c>
      <x:c r="G1066" s="29" t="str">
        <x:v>contrast</x:v>
      </x:c>
      <x:c r="H1066" s="29" t="str">
        <x:v>Draft — owner review</x:v>
      </x:c>
    </x:row>
    <x:row r="1067" ht="84" customHeight="1">
      <x:c r="A1067" s="29" t="str">
        <x:v>BTB-178</x:v>
      </x:c>
      <x:c r="B1067" s="62" t="n">
        <x:v>46500</x:v>
      </x:c>
      <x:c r="C1067" s="64" t="str">
        <x:v>P1</x:v>
      </x:c>
      <x:c r="D1067" s="64" t="n">
        <x:v>4</x:v>
      </x:c>
      <x:c r="E1067" s="29" t="str">
        <x:v>Ask what you are missing in that moment and what, if anything, needs attention in the present.</x:v>
      </x:c>
      <x:c r="F1067" s="29" t="str">
        <x:v>Slide 4 of 6. Ask what you are missing in that moment and what, if anything, needs attention in the present.</x:v>
      </x:c>
      <x:c r="G1067" s="29" t="str">
        <x:v>contrast</x:v>
      </x:c>
      <x:c r="H1067" s="29" t="str">
        <x:v>Draft — owner review</x:v>
      </x:c>
    </x:row>
    <x:row r="1068" ht="84" customHeight="1">
      <x:c r="A1068" s="29" t="str">
        <x:v>BTB-178</x:v>
      </x:c>
      <x:c r="B1068" s="62" t="n">
        <x:v>46500</x:v>
      </x:c>
      <x:c r="C1068" s="64" t="str">
        <x:v>P1</x:v>
      </x:c>
      <x:c r="D1068" s="64" t="n">
        <x:v>5</x:v>
      </x:c>
      <x:c r="E1068" s="29" t="str">
        <x:v>Keep the rest of your progress in view. One feeling does not have to rewrite the whole account.</x:v>
      </x:c>
      <x:c r="F1068" s="29" t="str">
        <x:v>Slide 5 of 6. Keep the rest of your progress in view. One feeling does not have to rewrite the whole account.</x:v>
      </x:c>
      <x:c r="G1068" s="29" t="str">
        <x:v>contrast</x:v>
      </x:c>
      <x:c r="H1068" s="29" t="str">
        <x:v>Draft — owner review</x:v>
      </x:c>
    </x:row>
    <x:row r="1069" ht="84" customHeight="1">
      <x:c r="A1069" s="29" t="str">
        <x:v>BTB-178</x:v>
      </x:c>
      <x:c r="B1069" s="62" t="n">
        <x:v>46500</x:v>
      </x:c>
      <x:c r="C1069" s="64" t="str">
        <x:v>P1</x:v>
      </x:c>
      <x:c r="D1069" s="64" t="n">
        <x:v>6</x:v>
      </x:c>
      <x:c r="E1069" s="29" t="str">
        <x:v>Send this to someone who mistakes a returning memory for starting over from zero.</x:v>
      </x:c>
      <x:c r="F1069" s="29" t="str">
        <x:v>Slide 6 of 6. Send this to someone who mistakes a returning memory for starting over from zero.</x:v>
      </x:c>
      <x:c r="G1069" s="29" t="str">
        <x:v>contrast</x:v>
      </x:c>
      <x:c r="H1069" s="29" t="str">
        <x:v>Draft — owner review</x:v>
      </x:c>
    </x:row>
    <x:row r="1070" ht="84" customHeight="1">
      <x:c r="A1070" s="29" t="str">
        <x:v>BTB-179</x:v>
      </x:c>
      <x:c r="B1070" s="62" t="n">
        <x:v>46501</x:v>
      </x:c>
      <x:c r="C1070" s="64" t="str">
        <x:v>P2</x:v>
      </x:c>
      <x:c r="D1070" s="64" t="n">
        <x:v>1</x:v>
      </x:c>
      <x:c r="E1070" s="29" t="str">
        <x:v>You can support someone without promising to be available for everything.</x:v>
      </x:c>
      <x:c r="F1070" s="29" t="str">
        <x:v>Slide 1 of 6. You can support someone without promising to be available for everything.</x:v>
      </x:c>
      <x:c r="G1070" s="29" t="str">
        <x:v>script</x:v>
      </x:c>
      <x:c r="H1070" s="29" t="str">
        <x:v>Draft — owner review</x:v>
      </x:c>
    </x:row>
    <x:row r="1071" ht="84" customHeight="1">
      <x:c r="A1071" s="29" t="str">
        <x:v>BTB-179</x:v>
      </x:c>
      <x:c r="B1071" s="62" t="n">
        <x:v>46501</x:v>
      </x:c>
      <x:c r="C1071" s="64" t="str">
        <x:v>P2</x:v>
      </x:c>
      <x:c r="D1071" s="64" t="n">
        <x:v>2</x:v>
      </x:c>
      <x:c r="E1071" s="29" t="str">
        <x:v>Knowing a difficult season yourself may make you want to rescue someone who is now in it.</x:v>
      </x:c>
      <x:c r="F1071" s="29" t="str">
        <x:v>Slide 2 of 6. Knowing a difficult season yourself may make you want to rescue someone who is now in it.</x:v>
      </x:c>
      <x:c r="G1071" s="29" t="str">
        <x:v>script</x:v>
      </x:c>
      <x:c r="H1071" s="29" t="str">
        <x:v>Draft — owner review</x:v>
      </x:c>
    </x:row>
    <x:row r="1072" ht="84" customHeight="1">
      <x:c r="A1072" s="29" t="str">
        <x:v>BTB-179</x:v>
      </x:c>
      <x:c r="B1072" s="62" t="n">
        <x:v>46501</x:v>
      </x:c>
      <x:c r="C1072" s="64" t="str">
        <x:v>P2</x:v>
      </x:c>
      <x:c r="D1072" s="64" t="n">
        <x:v>3</x:v>
      </x:c>
      <x:c r="E1072" s="29" t="str">
        <x:v>Try: “I can listen for a while. I may not have the right expertise, but we can think about who could help.”</x:v>
      </x:c>
      <x:c r="F1072" s="29" t="str">
        <x:v>Slide 3 of 6. Try: “I can listen for a while. I may not have the right expertise, but we can think about who could help.”</x:v>
      </x:c>
      <x:c r="G1072" s="29" t="str">
        <x:v>script</x:v>
      </x:c>
      <x:c r="H1072" s="29" t="str">
        <x:v>Draft — owner review</x:v>
      </x:c>
    </x:row>
    <x:row r="1073" ht="84" customHeight="1">
      <x:c r="A1073" s="29" t="str">
        <x:v>BTB-179</x:v>
      </x:c>
      <x:c r="B1073" s="62" t="n">
        <x:v>46501</x:v>
      </x:c>
      <x:c r="C1073" s="64" t="str">
        <x:v>P2</x:v>
      </x:c>
      <x:c r="D1073" s="64" t="n">
        <x:v>4</x:v>
      </x:c>
      <x:c r="E1073" s="29" t="str">
        <x:v>Respect their choices and privacy. Do not turn their experience into your content or assume it matches yours.</x:v>
      </x:c>
      <x:c r="F1073" s="29" t="str">
        <x:v>Slide 4 of 6. Respect their choices and privacy. Do not turn their experience into your content or assume it matches yours.</x:v>
      </x:c>
      <x:c r="G1073" s="29" t="str">
        <x:v>script</x:v>
      </x:c>
      <x:c r="H1073" s="29" t="str">
        <x:v>Draft — owner review</x:v>
      </x:c>
    </x:row>
    <x:row r="1074" ht="84" customHeight="1">
      <x:c r="A1074" s="29" t="str">
        <x:v>BTB-179</x:v>
      </x:c>
      <x:c r="B1074" s="62" t="n">
        <x:v>46501</x:v>
      </x:c>
      <x:c r="C1074" s="64" t="str">
        <x:v>P2</x:v>
      </x:c>
      <x:c r="D1074" s="64" t="n">
        <x:v>5</x:v>
      </x:c>
      <x:c r="E1074" s="29" t="str">
        <x:v>For immediate danger or urgent distress, help them reach appropriate emergency or crisis support rather than handling it alone.</x:v>
      </x:c>
      <x:c r="F1074" s="29" t="str">
        <x:v>Slide 5 of 6. For immediate danger or urgent distress, help them reach appropriate emergency or crisis support rather than handling it alone.</x:v>
      </x:c>
      <x:c r="G1074" s="29" t="str">
        <x:v>script</x:v>
      </x:c>
      <x:c r="H1074" s="29" t="str">
        <x:v>Draft — owner review</x:v>
      </x:c>
    </x:row>
    <x:row r="1075" ht="84" customHeight="1">
      <x:c r="A1075" s="29" t="str">
        <x:v>BTB-179</x:v>
      </x:c>
      <x:c r="B1075" s="62" t="n">
        <x:v>46501</x:v>
      </x:c>
      <x:c r="C1075" s="64" t="str">
        <x:v>P2</x:v>
      </x:c>
      <x:c r="D1075" s="64" t="n">
        <x:v>6</x:v>
      </x:c>
      <x:c r="E1075" s="29" t="str">
        <x:v>Save this for offering real care with honest limits.</x:v>
      </x:c>
      <x:c r="F1075" s="29" t="str">
        <x:v>Slide 6 of 6. Save this for offering real care with honest limits.</x:v>
      </x:c>
      <x:c r="G1075" s="29" t="str">
        <x:v>script</x:v>
      </x:c>
      <x:c r="H1075" s="29" t="str">
        <x:v>Draft — owner review</x:v>
      </x:c>
    </x:row>
    <x:row r="1076" ht="84" customHeight="1">
      <x:c r="A1076" s="29" t="str">
        <x:v>BTB-180</x:v>
      </x:c>
      <x:c r="B1076" s="62" t="n">
        <x:v>46502</x:v>
      </x:c>
      <x:c r="C1076" s="64" t="str">
        <x:v>P6</x:v>
      </x:c>
      <x:c r="D1076" s="64" t="n">
        <x:v>1</x:v>
      </x:c>
      <x:c r="E1076" s="29" t="str">
        <x:v>The point was never to stay identified with the broken part.</x:v>
      </x:c>
      <x:c r="F1076" s="29" t="str">
        <x:v>Slide 1 of 6. The point was never to stay identified with the broken part.</x:v>
      </x:c>
      <x:c r="G1076" s="29" t="str">
        <x:v>letter</x:v>
      </x:c>
      <x:c r="H1076" s="29" t="str">
        <x:v>Draft — owner review</x:v>
      </x:c>
    </x:row>
    <x:row r="1077" ht="84" customHeight="1">
      <x:c r="A1077" s="29" t="str">
        <x:v>BTB-180</x:v>
      </x:c>
      <x:c r="B1077" s="62" t="n">
        <x:v>46502</x:v>
      </x:c>
      <x:c r="C1077" s="64" t="str">
        <x:v>P6</x:v>
      </x:c>
      <x:c r="D1077" s="64" t="n">
        <x:v>2</x:v>
      </x:c>
      <x:c r="E1077" s="29" t="str">
        <x:v>Broken to Balanced began with lived experience. Its purpose is to make room for life beyond the hardest chapter.</x:v>
      </x:c>
      <x:c r="F1077" s="29" t="str">
        <x:v>Slide 2 of 6. Broken to Balanced began with lived experience. Its purpose is to make room for life beyond the hardest chapter.</x:v>
      </x:c>
      <x:c r="G1077" s="29" t="str">
        <x:v>letter</x:v>
      </x:c>
      <x:c r="H1077" s="29" t="str">
        <x:v>Draft — owner review</x:v>
      </x:c>
    </x:row>
    <x:row r="1078" ht="84" customHeight="1">
      <x:c r="A1078" s="29" t="str">
        <x:v>BTB-180</x:v>
      </x:c>
      <x:c r="B1078" s="62" t="n">
        <x:v>46502</x:v>
      </x:c>
      <x:c r="C1078" s="64" t="str">
        <x:v>P6</x:v>
      </x:c>
      <x:c r="D1078" s="64" t="n">
        <x:v>3</x:v>
      </x:c>
      <x:c r="E1078" s="29" t="str">
        <x:v>There will still be honest conversations about separation, fatherhood, loneliness, trust, work, and practical rebuilding.</x:v>
      </x:c>
      <x:c r="F1078" s="29" t="str">
        <x:v>Slide 3 of 6. There will still be honest conversations about separation, fatherhood, loneliness, trust, work, and practical rebuilding.</x:v>
      </x:c>
      <x:c r="G1078" s="29" t="str">
        <x:v>letter</x:v>
      </x:c>
      <x:c r="H1078" s="29" t="str">
        <x:v>Draft — owner review</x:v>
      </x:c>
    </x:row>
    <x:row r="1079" ht="84" customHeight="1">
      <x:c r="A1079" s="29" t="str">
        <x:v>BTB-180</x:v>
      </x:c>
      <x:c r="B1079" s="62" t="n">
        <x:v>46502</x:v>
      </x:c>
      <x:c r="C1079" s="64" t="str">
        <x:v>P6</x:v>
      </x:c>
      <x:c r="D1079" s="64" t="n">
        <x:v>4</x:v>
      </x:c>
      <x:c r="E1079" s="29" t="str">
        <x:v>There will also be room for accountability, ordinary joy, uncertainty, and changing a view when better information arrives.</x:v>
      </x:c>
      <x:c r="F1079" s="29" t="str">
        <x:v>Slide 4 of 6. There will also be room for accountability, ordinary joy, uncertainty, and changing a view when better information arrives.</x:v>
      </x:c>
      <x:c r="G1079" s="29" t="str">
        <x:v>letter</x:v>
      </x:c>
      <x:c r="H1079" s="29" t="str">
        <x:v>Draft — owner review</x:v>
      </x:c>
    </x:row>
    <x:row r="1080" ht="84" customHeight="1">
      <x:c r="A1080" s="29" t="str">
        <x:v>BTB-180</x:v>
      </x:c>
      <x:c r="B1080" s="62" t="n">
        <x:v>46502</x:v>
      </x:c>
      <x:c r="C1080" s="64" t="str">
        <x:v>P6</x:v>
      </x:c>
      <x:c r="D1080" s="64" t="n">
        <x:v>5</x:v>
      </x:c>
      <x:c r="E1080" s="29" t="str">
        <x:v>No invented finish line. No public trial. No requirement to have a perfect story before taking a useful step.</x:v>
      </x:c>
      <x:c r="F1080" s="29" t="str">
        <x:v>Slide 5 of 6. No invented finish line. No public trial. No requirement to have a perfect story before taking a useful step.</x:v>
      </x:c>
      <x:c r="G1080" s="29" t="str">
        <x:v>letter</x:v>
      </x:c>
      <x:c r="H1080" s="29" t="str">
        <x:v>Draft — owner review</x:v>
      </x:c>
    </x:row>
    <x:row r="1081" ht="84" customHeight="1">
      <x:c r="A1081" s="29" t="str">
        <x:v>BTB-180</x:v>
      </x:c>
      <x:c r="B1081" s="62" t="n">
        <x:v>46502</x:v>
      </x:c>
      <x:c r="C1081" s="64" t="str">
        <x:v>P6</x:v>
      </x:c>
      <x:c r="D1081" s="64" t="n">
        <x:v>6</x:v>
      </x:c>
      <x:c r="E1081" s="29" t="str">
        <x:v>Follow for the next honest step. Still standing. Still building.</x:v>
      </x:c>
      <x:c r="F1081" s="29" t="str">
        <x:v>Slide 6 of 6. Follow for the next honest step. Still standing. Still building.</x:v>
      </x:c>
      <x:c r="G1081" s="29" t="str">
        <x:v>letter</x:v>
      </x:c>
      <x:c r="H1081" s="29" t="str">
        <x:v>Draft — owner review</x:v>
      </x:c>
    </x:row>
  </x:sheetData>
  <x:pageMargins left="0.7" right="0.7" top="0.75" bottom="0.75" header="0.3" footer="0.3"/>
  <x:tableParts count="1">
    <x:tablePart xmlns:r="http://schemas.openxmlformats.org/officeDocument/2006/relationships" r:id="Raf5c70269f354f00"/>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5" hidden="0" customWidth="1"/>
    <x:col min="3" max="3" width="8" hidden="0" customWidth="1"/>
    <x:col min="4" max="4" width="72" hidden="0" customWidth="1"/>
    <x:col min="5" max="5" width="25" hidden="0" customWidth="1"/>
    <x:col min="6" max="6" width="30" hidden="0" customWidth="1"/>
  </x:cols>
  <x:sheetData>
    <x:row r="1" ht="36" customHeight="1">
      <x:c r="A1" s="9" t="str">
        <x:v>ID</x:v>
      </x:c>
      <x:c r="B1" s="9" t="str">
        <x:v>Editorial date</x:v>
      </x:c>
      <x:c r="C1" s="9" t="str">
        <x:v>Pillar</x:v>
      </x:c>
      <x:c r="D1" s="9" t="str">
        <x:v>Exact caption + descriptive hashtags</x:v>
      </x:c>
      <x:c r="E1" s="9" t="str">
        <x:v>Founder attestation</x:v>
      </x:c>
      <x:c r="F1" s="9" t="str">
        <x:v>Copy SHA-256</x:v>
      </x:c>
    </x:row>
    <x:row r="2" ht="128" customHeight="1">
      <x:c r="A2" s="29" t="str">
        <x:v>BTB-001</x:v>
      </x:c>
      <x:c r="B2" s="62" t="n">
        <x:v>46323</x:v>
      </x:c>
      <x:c r="C2" s="64" t="str">
        <x:v>P1</x:v>
      </x:c>
      <x:c r="D2" s="29" t="str">
        <x:v>Starting over is rarely a clean break followed by a fresh beginning. There is usually an ordinary day in the middle, with ordinary demands. This page is for that middle: honest perspective and practical steps, without pretending the hard part is already over.
#BrokenToBalanced #LifeAfterSeparation #RebuildingLife</x:v>
      </x:c>
      <x:c r="E2" s="29" t="str">
        <x:v>No first-person memoir</x:v>
      </x:c>
      <x:c r="F2" s="29" t="str">
        <x:v>b9740c273fbc9c07fc94b1995bc6bce1206eb697150191ecb6e7a966e93bab4d</x:v>
      </x:c>
    </x:row>
    <x:row r="3" ht="128" customHeight="1">
      <x:c r="A3" s="29" t="str">
        <x:v>BTB-002</x:v>
      </x:c>
      <x:c r="B3" s="62" t="n">
        <x:v>46324</x:v>
      </x:c>
      <x:c r="C3" s="64" t="str">
        <x:v>P2</x:v>
      </x:c>
      <x:c r="D3" s="29" t="str">
        <x:v>This is a practical option, not a cure or a test of character. Some days need more support than a checklist can provide. You are allowed to make the task smaller and ask for help at the same time.
#BrokenToBalanced #RebuildingLife #HonestConversations</x:v>
      </x:c>
      <x:c r="E3" s="29" t="str">
        <x:v>No first-person memoir</x:v>
      </x:c>
      <x:c r="F3" s="29" t="str">
        <x:v>e183f179da7318bd7acb957f0ab8e2c7f1730e0e73d37042c07a7b72d94dd2c5</x:v>
      </x:c>
    </x:row>
    <x:row r="4" ht="128" customHeight="1">
      <x:c r="A4" s="29" t="str">
        <x:v>BTB-003</x:v>
      </x:c>
      <x:c r="B4" s="62" t="n">
        <x:v>46325</x:v>
      </x:c>
      <x:c r="C4" s="64" t="str">
        <x:v>P3</x:v>
      </x:c>
      <x:c r="D4" s="29" t="str">
        <x:v>This is an example to adapt, not a legal instruction or a message from my private correspondence. The aim is a child-focused exchange, not a winning last sentence. Existing orders, agreed arrangements, and safety needs take priority.
#BrokenToBalanced #Fatherhood #ParentingAfterSeparation</x:v>
      </x:c>
      <x:c r="E4" s="29" t="str">
        <x:v>No first-person memoir</x:v>
      </x:c>
      <x:c r="F4" s="29" t="str">
        <x:v>c603b7b10f07f0fb4d62cb0f7bf8c69b639a41aeac4c09ffdd13c4ee6be0edb2</x:v>
      </x:c>
    </x:row>
    <x:row r="5" ht="128" customHeight="1">
      <x:c r="A5" s="29" t="str">
        <x:v>BTB-004</x:v>
      </x:c>
      <x:c r="B5" s="62" t="n">
        <x:v>46326</x:v>
      </x:c>
      <x:c r="C5" s="64" t="str">
        <x:v>P4</x:v>
      </x:c>
      <x:c r="D5" s="29" t="str">
        <x:v>Longing deserves honesty, not shame. So do the reasons a relationship became difficult. This reflection is not an instruction to leave or return. It is permission to consider the whole picture, with appropriate support where safety is involved.
#BrokenToBalanced #Relationships #PersonalBoundaries</x:v>
      </x:c>
      <x:c r="E5" s="29" t="str">
        <x:v>No first-person memoir</x:v>
      </x:c>
      <x:c r="F5" s="29" t="str">
        <x:v>8781a49cfd333a719ed4a9b86eb76fb5f9871025bb92d441905dafef5071ad16</x:v>
      </x:c>
    </x:row>
    <x:row r="6" ht="128" customHeight="1">
      <x:c r="A6" s="29" t="str">
        <x:v>BTB-005</x:v>
      </x:c>
      <x:c r="B6" s="62" t="n">
        <x:v>46327</x:v>
      </x:c>
      <x:c r="C6" s="64" t="str">
        <x:v>P5</x:v>
      </x:c>
      <x:c r="D6" s="29" t="str">
        <x:v>A one-page plan is a working surface, not a promise that life will become simple. Its job is to make the next action visible. Add details when they become necessary rather than building an elaborate system you cannot maintain.
#BrokenToBalanced #StartingAgain #PracticalSteps</x:v>
      </x:c>
      <x:c r="E6" s="29" t="str">
        <x:v>No first-person memoir</x:v>
      </x:c>
      <x:c r="F6" s="29" t="str">
        <x:v>0b032911d0e21c7a18d336cc2a6aee71c4b8efafeb0d8c4a78c3d0125303c6bb</x:v>
      </x:c>
    </x:row>
    <x:row r="7" ht="128" customHeight="1">
      <x:c r="A7" s="29" t="str">
        <x:v>BTB-006</x:v>
      </x:c>
      <x:c r="B7" s="62" t="n">
        <x:v>46328</x:v>
      </x:c>
      <x:c r="C7" s="64" t="str">
        <x:v>P1</x:v>
      </x:c>
      <x:c r="D7" s="29" t="str">
        <x:v>“Move on” can be an unhelpfully large instruction. Naming one loss gives you something more specific to work with. It also leaves room for the parts of your future that are not yet decided.
#BrokenToBalanced #LifeAfterSeparation #RebuildingLife</x:v>
      </x:c>
      <x:c r="E7" s="29" t="str">
        <x:v>No first-person memoir</x:v>
      </x:c>
      <x:c r="F7" s="29" t="str">
        <x:v>d590a427ede8539ed68dcd6160c030646fa2f9de5b4625e9049d0da83aead656</x:v>
      </x:c>
    </x:row>
    <x:row r="8" ht="128" customHeight="1">
      <x:c r="A8" s="29" t="str">
        <x:v>BTB-007</x:v>
      </x:c>
      <x:c r="B8" s="62" t="n">
        <x:v>46329</x:v>
      </x:c>
      <x:c r="C8" s="64" t="str">
        <x:v>P2</x:v>
      </x:c>
      <x:c r="D8" s="29" t="str">
        <x:v>A clear request gives someone a chance to show up without guessing. They may still be unavailable, and that can feel disappointing. Building support means having more than one possible place to turn, not finding one person who is always on call.
#BrokenToBalanced #RebuildingLife #HonestConversations</x:v>
      </x:c>
      <x:c r="E8" s="29" t="str">
        <x:v>No first-person memoir</x:v>
      </x:c>
      <x:c r="F8" s="29" t="str">
        <x:v>029b33a34e8f958bebbcbe54001181eb9adcfac8d31d3ced74d7b9cfe63da33c</x:v>
      </x:c>
    </x:row>
    <x:row r="9" ht="128" customHeight="1">
      <x:c r="A9" s="29" t="str">
        <x:v>BTB-008</x:v>
      </x:c>
      <x:c r="B9" s="62" t="n">
        <x:v>46330</x:v>
      </x:c>
      <x:c r="C9" s="64" t="str">
        <x:v>P5</x:v>
      </x:c>
      <x:c r="D9" s="29" t="str">
        <x:v>Financial pressure after a setback is not solved by positive thinking. This is an administrative starting point, not debt, tax, or investment advice. Facts and appropriate support are more useful than either avoidance or a rushed promise to fix everything.
#BrokenToBalanced #StartingAgain #PracticalSteps</x:v>
      </x:c>
      <x:c r="E9" s="29" t="str">
        <x:v>No first-person memoir</x:v>
      </x:c>
      <x:c r="F9" s="29" t="str">
        <x:v>3f837e6e9892308cc8f9d33106577a86433b8020549ef5f45aaba24d91538823</x:v>
      </x:c>
    </x:row>
    <x:row r="10" ht="128" customHeight="1">
      <x:c r="A10" s="29" t="str">
        <x:v>BTB-009</x:v>
      </x:c>
      <x:c r="B10" s="62" t="n">
        <x:v>46331</x:v>
      </x:c>
      <x:c r="C10" s="64" t="str">
        <x:v>P3</x:v>
      </x:c>
      <x:c r="D10" s="29" t="str">
        <x:v>The point is not perfect logistics. Things get forgotten. The point is deciding who carries the responsibility for sorting them out. This general reflection does not replace your parenting arrangements or professional guidance for difficult situations.
#BrokenToBalanced #Fatherhood #ParentingAfterSeparation</x:v>
      </x:c>
      <x:c r="E10" s="29" t="str">
        <x:v>No first-person memoir</x:v>
      </x:c>
      <x:c r="F10" s="29" t="str">
        <x:v>0cd2cb044afcfe41e4b94a9234f9c4e7f6601e8f36bfaac7ecdd79ec1fdfc9c1</x:v>
      </x:c>
    </x:row>
    <x:row r="11" ht="128" customHeight="1">
      <x:c r="A11" s="29" t="str">
        <x:v>BTB-010</x:v>
      </x:c>
      <x:c r="B11" s="62" t="n">
        <x:v>46332</x:v>
      </x:c>
      <x:c r="C11" s="64" t="str">
        <x:v>P4</x:v>
      </x:c>
      <x:c r="D11" s="29" t="str">
        <x:v>This wording is for situations where a direct conversation is safe and appropriate. It cannot guarantee cooperation. The value is clarity about your own participation, not a technique for making someone else behave differently.
#BrokenToBalanced #Relationships #PersonalBoundaries</x:v>
      </x:c>
      <x:c r="E11" s="29" t="str">
        <x:v>No first-person memoir</x:v>
      </x:c>
      <x:c r="F11" s="29" t="str">
        <x:v>90d7914417b07d99b174c2e70a65a26913a7a57853d6f330490e995249d02404</x:v>
      </x:c>
    </x:row>
    <x:row r="12" ht="128" customHeight="1">
      <x:c r="A12" s="29" t="str">
        <x:v>BTB-011</x:v>
      </x:c>
      <x:c r="B12" s="62" t="n">
        <x:v>46333</x:v>
      </x:c>
      <x:c r="C12" s="64" t="str">
        <x:v>P1</x:v>
      </x:c>
      <x:c r="D12" s="29" t="str">
        <x:v>There is a difference between giving yourself room and abandoning yourself. A kinder question can still lead to a practical action. It simply begins with what is happening rather than what you think you should have already achieved.
#BrokenToBalanced #LifeAfterSeparation #RebuildingLife</x:v>
      </x:c>
      <x:c r="E12" s="29" t="str">
        <x:v>No first-person memoir</x:v>
      </x:c>
      <x:c r="F12" s="29" t="str">
        <x:v>b4fba5f9c0b20ad82ddb9a5d7bb84ce51e243097e7a4b5a02fb30d869891b337</x:v>
      </x:c>
    </x:row>
    <x:row r="13" ht="128" customHeight="1">
      <x:c r="A13" s="29" t="str">
        <x:v>BTB-012</x:v>
      </x:c>
      <x:c r="B13" s="62" t="n">
        <x:v>46334</x:v>
      </x:c>
      <x:c r="C13" s="64" t="str">
        <x:v>P2</x:v>
      </x:c>
      <x:c r="D13" s="29" t="str">
        <x:v>This is an original reflection tool, not a diagnostic test. Sometimes a message is genuinely troubling; sometimes important context is missing. Separating the words from your interpretation can help you decide what information or support you need next.
#BrokenToBalanced #RebuildingLife #HonestConversations</x:v>
      </x:c>
      <x:c r="E13" s="29" t="str">
        <x:v>No first-person memoir</x:v>
      </x:c>
      <x:c r="F13" s="29" t="str">
        <x:v>8f652a35c35fd223edfddeee636c49903f3087716bb81019bfd10f64b758c8ae</x:v>
      </x:c>
    </x:row>
    <x:row r="14" ht="128" customHeight="1">
      <x:c r="A14" s="29" t="str">
        <x:v>BTB-013</x:v>
      </x:c>
      <x:c r="B14" s="62" t="n">
        <x:v>46335</x:v>
      </x:c>
      <x:c r="C14" s="64" t="str">
        <x:v>P5</x:v>
      </x:c>
      <x:c r="D14" s="29" t="str">
        <x:v>This is ordinary preparation for an ordinary hard day. It does not replace medical care, crisis support, or a specialist safety plan. Its purpose is to reduce avoidable decisions when you already have enough to carry.
#BrokenToBalanced #StartingAgain #PracticalSteps</x:v>
      </x:c>
      <x:c r="E14" s="29" t="str">
        <x:v>No first-person memoir</x:v>
      </x:c>
      <x:c r="F14" s="29" t="str">
        <x:v>e92bc4e2531d641c515ae66d02f6bac802b633623ce927968f500cb7f089bedb</x:v>
      </x:c>
    </x:row>
    <x:row r="15" ht="128" customHeight="1">
      <x:c r="A15" s="29" t="str">
        <x:v>BTB-014</x:v>
      </x:c>
      <x:c r="B15" s="62" t="n">
        <x:v>46336</x:v>
      </x:c>
      <x:c r="C15" s="64" t="str">
        <x:v>P6</x:v>
      </x:c>
      <x:c r="D15" s="29" t="str">
        <x:v>The promise here is not that I have every answer. It is that the content will separate lived experience from suggested tools, protect other people's privacy, and offer something more useful than “just stay positive.” Still standing. Still building.
#BrokenToBalanced #StillBuilding #LifeAfterSeparation</x:v>
      </x:c>
      <x:c r="E15" s="29" t="str">
        <x:v>Required</x:v>
      </x:c>
      <x:c r="F15" s="29" t="str">
        <x:v>3621b33ad6e53a7cae482306e0e71ad1fc1dc0ed1327aaf9c758fa23029a89f9</x:v>
      </x:c>
    </x:row>
    <x:row r="16" ht="128" customHeight="1">
      <x:c r="A16" s="29" t="str">
        <x:v>BTB-015</x:v>
      </x:c>
      <x:c r="B16" s="62" t="n">
        <x:v>46337</x:v>
      </x:c>
      <x:c r="C16" s="64" t="str">
        <x:v>P3</x:v>
      </x:c>
      <x:c r="D16" s="29" t="str">
        <x:v>This is not about denying that something happened. It is about choosing an age-appropriate response without recruiting a child into your account of it. A simple, familiar next step can be your aim even when your own emotions are complicated.
#BrokenToBalanced #Fatherhood #ParentingAfterSeparation</x:v>
      </x:c>
      <x:c r="E16" s="29" t="str">
        <x:v>No first-person memoir</x:v>
      </x:c>
      <x:c r="F16" s="29" t="str">
        <x:v>90de846cb4f41e2cdcaf7090e96a67fa99c0dcfe61f361b5a788b93aa4e4a7a9</x:v>
      </x:c>
    </x:row>
    <x:row r="17" ht="128" customHeight="1">
      <x:c r="A17" s="29" t="str">
        <x:v>BTB-016</x:v>
      </x:c>
      <x:c r="B17" s="62" t="n">
        <x:v>46338</x:v>
      </x:c>
      <x:c r="C17" s="64" t="str">
        <x:v>P4</x:v>
      </x:c>
      <x:c r="D17" s="29" t="str">
        <x:v>There is no universal timetable for rebuilding trust. Nor is every relationship safe or appropriate to repair. This post offers questions, not a verdict on a particular person or a rule that you must give another chance.
#BrokenToBalanced #Relationships #PersonalBoundaries</x:v>
      </x:c>
      <x:c r="E17" s="29" t="str">
        <x:v>No first-person memoir</x:v>
      </x:c>
      <x:c r="F17" s="29" t="str">
        <x:v>b768210ab62b1b03def1b82827dfa0e4357b8f3ffcc0ed32812507c0497ec4a0</x:v>
      </x:c>
    </x:row>
    <x:row r="18" ht="128" customHeight="1">
      <x:c r="A18" s="29" t="str">
        <x:v>BTB-017</x:v>
      </x:c>
      <x:c r="B18" s="62" t="n">
        <x:v>46339</x:v>
      </x:c>
      <x:c r="C18" s="64" t="str">
        <x:v>P5</x:v>
      </x:c>
      <x:c r="D18" s="29" t="str">
        <x:v>This is a communication example, not employment advice or a promise that a request will be approved. The aim is to make the work conversation usable while keeping your personal story yours to disclose.
#BrokenToBalanced #StartingAgain #PracticalSteps</x:v>
      </x:c>
      <x:c r="E18" s="29" t="str">
        <x:v>No first-person memoir</x:v>
      </x:c>
      <x:c r="F18" s="29" t="str">
        <x:v>9a31860562781f0cb6783928dd72787e1c1976c8d03907096ecc15e5f628a9a2</x:v>
      </x:c>
    </x:row>
    <x:row r="19" ht="128" customHeight="1">
      <x:c r="A19" s="29" t="str">
        <x:v>BTB-018</x:v>
      </x:c>
      <x:c r="B19" s="62" t="n">
        <x:v>46340</x:v>
      </x:c>
      <x:c r="C19" s="64" t="str">
        <x:v>P1</x:v>
      </x:c>
      <x:c r="D19" s="29" t="str">
        <x:v>An honest answer can also be a limited answer. You do not need to persuade every acquaintance that your experience was difficult. Choose depth where there is trust, and a respectful boundary where there is not.
#BrokenToBalanced #LifeAfterSeparation #RebuildingLife</x:v>
      </x:c>
      <x:c r="E19" s="29" t="str">
        <x:v>No first-person memoir</x:v>
      </x:c>
      <x:c r="F19" s="29" t="str">
        <x:v>b2896cc0d5ba8dde99085b09f600785bafaf712d67c28cb5caddcca9a856811a</x:v>
      </x:c>
    </x:row>
    <x:row r="20" ht="128" customHeight="1">
      <x:c r="A20" s="29" t="str">
        <x:v>BTB-019</x:v>
      </x:c>
      <x:c r="B20" s="62" t="n">
        <x:v>46341</x:v>
      </x:c>
      <x:c r="C20" s="64" t="str">
        <x:v>P2</x:v>
      </x:c>
      <x:c r="D20" s="29" t="str">
        <x:v>This is not a claim that staying busy removes loneliness. It is a way to give an unstructured evening a few options. You can miss company and still make the place you are in a little more livable.
#BrokenToBalanced #RebuildingLife #HonestConversations</x:v>
      </x:c>
      <x:c r="E20" s="29" t="str">
        <x:v>No first-person memoir</x:v>
      </x:c>
      <x:c r="F20" s="29" t="str">
        <x:v>2834f895a6e67003244680a5188257576585d8441d2ae7c7f73011ff9823ff4b</x:v>
      </x:c>
    </x:row>
    <x:row r="21" ht="128" customHeight="1">
      <x:c r="A21" s="29" t="str">
        <x:v>BTB-020</x:v>
      </x:c>
      <x:c r="B21" s="62" t="n">
        <x:v>46342</x:v>
      </x:c>
      <x:c r="C21" s="64" t="str">
        <x:v>P3</x:v>
      </x:c>
      <x:c r="D21" s="29" t="str">
        <x:v>A practical system should reduce the burden on the child, not become a scorecard against the other household. Keep safety-sensitive information accurate and use professional guidance where necessary. This is a suggested routine, not a statement about anyone's parenting.
#BrokenToBalanced #Fatherhood #ParentingAfterSeparation</x:v>
      </x:c>
      <x:c r="E21" s="29" t="str">
        <x:v>No first-person memoir</x:v>
      </x:c>
      <x:c r="F21" s="29" t="str">
        <x:v>b5741722f339cc9c86fcfb7d707092fd15fd561a889128cb71a74e3dc6dab2d9</x:v>
      </x:c>
    </x:row>
    <x:row r="22" ht="128" customHeight="1">
      <x:c r="A22" s="29" t="str">
        <x:v>BTB-021</x:v>
      </x:c>
      <x:c r="B22" s="62" t="n">
        <x:v>46343</x:v>
      </x:c>
      <x:c r="C22" s="64" t="str">
        <x:v>P4</x:v>
      </x:c>
      <x:c r="D22" s="29" t="str">
        <x:v>This is not an excuse for repeated disregard. It is a reminder to distinguish a single event from a pattern, and a pattern from a diagnosis. Clear expectations provide more useful information than silently testing whether someone can read your mind.
#BrokenToBalanced #Relationships #PersonalBoundaries</x:v>
      </x:c>
      <x:c r="E22" s="29" t="str">
        <x:v>No first-person memoir</x:v>
      </x:c>
      <x:c r="F22" s="29" t="str">
        <x:v>d85c6e1f9ec9d3af756e0c9a9a4eac85dd7022052744567e56a298db2ea5f87d</x:v>
      </x:c>
    </x:row>
    <x:row r="23" ht="128" customHeight="1">
      <x:c r="A23" s="29" t="str">
        <x:v>BTB-022</x:v>
      </x:c>
      <x:c r="B23" s="62" t="n">
        <x:v>46344</x:v>
      </x:c>
      <x:c r="C23" s="64" t="str">
        <x:v>P5</x:v>
      </x:c>
      <x:c r="D23" s="29" t="str">
        <x:v>A fresh start does not have to be a shopping list. This is a practical suggestion to improve one part of daily life without turning your home into another unfinished project. Comfort and usefulness can be enough for now.
#BrokenToBalanced #StartingAgain #PracticalSteps</x:v>
      </x:c>
      <x:c r="E23" s="29" t="str">
        <x:v>No first-person memoir</x:v>
      </x:c>
      <x:c r="F23" s="29" t="str">
        <x:v>ec3124716e73e2e555ed0489a794df35f8d63d10861401ec0c0787140adbe573</x:v>
      </x:c>
    </x:row>
    <x:row r="24" ht="128" customHeight="1">
      <x:c r="A24" s="29" t="str">
        <x:v>BTB-023</x:v>
      </x:c>
      <x:c r="B24" s="62" t="n">
        <x:v>46345</x:v>
      </x:c>
      <x:c r="C24" s="64" t="str">
        <x:v>P1</x:v>
      </x:c>
      <x:c r="D24" s="29" t="str">
        <x:v>A changed relationship can affect many parts of life without becoming your permanent introduction. Reconnecting with an interest or a friendship does not deny what happened. It gives the rest of your life some room to exist alongside it.
#BrokenToBalanced #LifeAfterSeparation #RebuildingLife</x:v>
      </x:c>
      <x:c r="E24" s="29" t="str">
        <x:v>No first-person memoir</x:v>
      </x:c>
      <x:c r="F24" s="29" t="str">
        <x:v>229a1600e3f14d4f646af5fd0c08c63c268d347d2efcf6efaeded7bdca57ab98</x:v>
      </x:c>
    </x:row>
    <x:row r="25" ht="128" customHeight="1">
      <x:c r="A25" s="29" t="str">
        <x:v>BTB-024</x:v>
      </x:c>
      <x:c r="B25" s="62" t="n">
        <x:v>46346</x:v>
      </x:c>
      <x:c r="C25" s="64" t="str">
        <x:v>P2</x:v>
      </x:c>
      <x:c r="D25" s="29" t="str">
        <x:v>Privacy and connection do not have to cancel each other out. You can share a little, ask for something specific, and leave the rest for another time. The aim is not to perform vulnerability; it is to make room for real support.
#BrokenToBalanced #RebuildingLife #HonestConversations</x:v>
      </x:c>
      <x:c r="E25" s="29" t="str">
        <x:v>No first-person memoir</x:v>
      </x:c>
      <x:c r="F25" s="29" t="str">
        <x:v>b431c2f5bbf9cf79e8653c32c55e1526d48fc671369159ba51d799199a68fbf4</x:v>
      </x:c>
    </x:row>
    <x:row r="26" ht="128" customHeight="1">
      <x:c r="A26" s="29" t="str">
        <x:v>BTB-025</x:v>
      </x:c>
      <x:c r="B26" s="62" t="n">
        <x:v>46347</x:v>
      </x:c>
      <x:c r="C26" s="64" t="str">
        <x:v>P3</x:v>
      </x:c>
      <x:c r="D26" s="29" t="str">
        <x:v>Parenting after separation can involve complicated emotions, including moments you would rather not admit. Acknowledging those privately is different from making a child manage them. This post is about a response to consider, not a judgment about any particular family.
#BrokenToBalanced #Fatherhood #ParentingAfterSeparation</x:v>
      </x:c>
      <x:c r="E26" s="29" t="str">
        <x:v>No first-person memoir</x:v>
      </x:c>
      <x:c r="F26" s="29" t="str">
        <x:v>e18e075a39b2aa0a800c101499fdd94a970bc27ae838bc481494383b94fab304</x:v>
      </x:c>
    </x:row>
    <x:row r="27" ht="128" customHeight="1">
      <x:c r="A27" s="29" t="str">
        <x:v>BTB-026</x:v>
      </x:c>
      <x:c r="B27" s="62" t="n">
        <x:v>46348</x:v>
      </x:c>
      <x:c r="C27" s="64" t="str">
        <x:v>P4</x:v>
      </x:c>
      <x:c r="D27" s="29" t="str">
        <x:v>A considerate no can be more reliable than a resentful yes. This is a reflection on optional commitments, not permission to ignore legal duties, parenting arrangements, or urgent responsibilities. Clear limits should also respect other people's time.
#BrokenToBalanced #Relationships #PersonalBoundaries</x:v>
      </x:c>
      <x:c r="E27" s="29" t="str">
        <x:v>No first-person memoir</x:v>
      </x:c>
      <x:c r="F27" s="29" t="str">
        <x:v>30f76832a96077cf058a3496c0c13d1a78cb2a1f03dd8e0d1f4b577e75bacba7</x:v>
      </x:c>
    </x:row>
    <x:row r="28" ht="128" customHeight="1">
      <x:c r="A28" s="29" t="str">
        <x:v>BTB-027</x:v>
      </x:c>
      <x:c r="B28" s="62" t="n">
        <x:v>46349</x:v>
      </x:c>
      <x:c r="C28" s="64" t="str">
        <x:v>P5</x:v>
      </x:c>
      <x:c r="D28" s="29" t="str">
        <x:v>This is about organising attention, not delaying required action. Time-sensitive legal, financial, or safety matters need timely help. For ordinary administration, a visible finish line can make room for the rest of the day.
#BrokenToBalanced #StartingAgain #PracticalSteps</x:v>
      </x:c>
      <x:c r="E28" s="29" t="str">
        <x:v>No first-person memoir</x:v>
      </x:c>
      <x:c r="F28" s="29" t="str">
        <x:v>81b9204fd3940105d809ab07be525fd562226a9f53e32194aef21d72c3680805</x:v>
      </x:c>
    </x:row>
    <x:row r="29" ht="128" customHeight="1">
      <x:c r="A29" s="29" t="str">
        <x:v>BTB-028</x:v>
      </x:c>
      <x:c r="B29" s="62" t="n">
        <x:v>46350</x:v>
      </x:c>
      <x:c r="C29" s="64" t="str">
        <x:v>P1</x:v>
      </x:c>
      <x:c r="D29" s="29" t="str">
        <x:v>This is a reflection, not a test of whether a decision was right. Major changes can involve different losses and gains. You are allowed to examine each one without demanding that every feeling agree.
#BrokenToBalanced #LifeAfterSeparation #RebuildingLife</x:v>
      </x:c>
      <x:c r="E29" s="29" t="str">
        <x:v>No first-person memoir</x:v>
      </x:c>
      <x:c r="F29" s="29" t="str">
        <x:v>7556ca648455c235350f8f6fb8d171eec115337e25c1dff43301190aab329a82</x:v>
      </x:c>
    </x:row>
    <x:row r="30" ht="128" customHeight="1">
      <x:c r="A30" s="29" t="str">
        <x:v>BTB-029</x:v>
      </x:c>
      <x:c r="B30" s="62" t="n">
        <x:v>46351</x:v>
      </x:c>
      <x:c r="C30" s="64" t="str">
        <x:v>P2</x:v>
      </x:c>
      <x:c r="D30" s="29" t="str">
        <x:v>A pause does not resolve the uncertainty. It is also not a moral failure. The practical question is whether you can step away from a non-urgent task without missing something important, then return with the next action already identified.
#BrokenToBalanced #RebuildingLife #HonestConversations</x:v>
      </x:c>
      <x:c r="E30" s="29" t="str">
        <x:v>No first-person memoir</x:v>
      </x:c>
      <x:c r="F30" s="29" t="str">
        <x:v>88e7d4e22f90e2972c157e4168ee6f73d58fd9685128f8687b6fd01d92d1e586</x:v>
      </x:c>
    </x:row>
    <x:row r="31" ht="128" customHeight="1">
      <x:c r="A31" s="29" t="str">
        <x:v>BTB-030</x:v>
      </x:c>
      <x:c r="B31" s="62" t="n">
        <x:v>46352</x:v>
      </x:c>
      <x:c r="C31" s="64" t="str">
        <x:v>P6</x:v>
      </x:c>
      <x:c r="D31" s="29" t="str">
        <x:v>Those boundaries are part of the brand, not an obstacle to authenticity. The aim is to make someone feel understood and more able to take their next step. Public blame is not required to do either.
#BrokenToBalanced #StillBuilding #LifeAfterSeparation</x:v>
      </x:c>
      <x:c r="E31" s="29" t="str">
        <x:v>Required</x:v>
      </x:c>
      <x:c r="F31" s="29" t="str">
        <x:v>b83edf0ce073f4eaee29f805e5ce34e78fa21080aa5821585d90bfb9546701fd</x:v>
      </x:c>
    </x:row>
    <x:row r="32" ht="128" customHeight="1">
      <x:c r="A32" s="29" t="str">
        <x:v>BTB-031</x:v>
      </x:c>
      <x:c r="B32" s="62" t="n">
        <x:v>46353</x:v>
      </x:c>
      <x:c r="C32" s="64" t="str">
        <x:v>P1</x:v>
      </x:c>
      <x:c r="D32" s="29" t="str">
        <x:v>Rebuilding does not require a perfectly negative story about the past. You can choose what to keep, what to change, and what remains difficult to understand. The aim is a usable next chapter, not a revised history where nothing mattered.
#BrokenToBalanced #LifeAfterSeparation #RebuildingLife</x:v>
      </x:c>
      <x:c r="E32" s="29" t="str">
        <x:v>No first-person memoir</x:v>
      </x:c>
      <x:c r="F32" s="29" t="str">
        <x:v>7b07198f4d3ea17372c2e600a5309ad8afff50fc48c0043e0bc44035be24ed4d</x:v>
      </x:c>
    </x:row>
    <x:row r="33" ht="128" customHeight="1">
      <x:c r="A33" s="29" t="str">
        <x:v>BTB-032</x:v>
      </x:c>
      <x:c r="B33" s="62" t="n">
        <x:v>46354</x:v>
      </x:c>
      <x:c r="C33" s="64" t="str">
        <x:v>P2</x:v>
      </x:c>
      <x:c r="D33" s="29" t="str">
        <x:v>This is a language exercise, not a way to argue yourself out of pain. You can acknowledge a feeling while leaving space for uncertainty about what it means. Difficult thoughts deserve attention without automatically being treated as forecasts.
#BrokenToBalanced #RebuildingLife #HonestConversations</x:v>
      </x:c>
      <x:c r="E33" s="29" t="str">
        <x:v>No first-person memoir</x:v>
      </x:c>
      <x:c r="F33" s="29" t="str">
        <x:v>e8d2a6dce7cf13fdb23292782bb342496048cf7b471bf326bb86ce09d3ea7191</x:v>
      </x:c>
    </x:row>
    <x:row r="34" ht="128" customHeight="1">
      <x:c r="A34" s="29" t="str">
        <x:v>BTB-033</x:v>
      </x:c>
      <x:c r="B34" s="62" t="n">
        <x:v>46355</x:v>
      </x:c>
      <x:c r="C34" s="64" t="str">
        <x:v>P3</x:v>
      </x:c>
      <x:c r="D34" s="29" t="str">
        <x:v>This is an organisational idea, not permission to change parenting time or decision-making arrangements. A calendar is useful when it reflects real agreements and accurate information. It should not become a way to announce decisions that required discussion.
#BrokenToBalanced #Fatherhood #ParentingAfterSeparation</x:v>
      </x:c>
      <x:c r="E34" s="29" t="str">
        <x:v>No first-person memoir</x:v>
      </x:c>
      <x:c r="F34" s="29" t="str">
        <x:v>7d310dd4d074289e485efc74d3cdfb3b2ea1a399963b07d53ae91750d4157c76</x:v>
      </x:c>
    </x:row>
    <x:row r="35" ht="128" customHeight="1">
      <x:c r="A35" s="29" t="str">
        <x:v>BTB-034</x:v>
      </x:c>
      <x:c r="B35" s="62" t="n">
        <x:v>46356</x:v>
      </x:c>
      <x:c r="C35" s="64" t="str">
        <x:v>P4</x:v>
      </x:c>
      <x:c r="D35" s="29" t="str">
        <x:v>Support is not always unconditional agreement. A trustworthy conversation can include warmth, limits, and a different interpretation. This applies where dialogue is safe; it is not an instruction to debate with someone who threatens or intimidates you.
#BrokenToBalanced #Relationships #PersonalBoundaries</x:v>
      </x:c>
      <x:c r="E35" s="29" t="str">
        <x:v>No first-person memoir</x:v>
      </x:c>
      <x:c r="F35" s="29" t="str">
        <x:v>21481edb3b2b2ee652b9af0ea79ec814532516f71571d39e701dc6363e5aa8e7</x:v>
      </x:c>
    </x:row>
    <x:row r="36" ht="128" customHeight="1">
      <x:c r="A36" s="29" t="str">
        <x:v>BTB-035</x:v>
      </x:c>
      <x:c r="B36" s="62" t="n">
        <x:v>46357</x:v>
      </x:c>
      <x:c r="C36" s="64" t="str">
        <x:v>P5</x:v>
      </x:c>
      <x:c r="D36" s="29" t="str">
        <x:v>These are suggested routines, not a formula for recovery. Their value depends on whether they fit your real responsibilities and resources. A small system that gets used is more useful than an impressive plan that keeps being postponed.
#BrokenToBalanced #StartingAgain #PracticalSteps</x:v>
      </x:c>
      <x:c r="E36" s="29" t="str">
        <x:v>No first-person memoir</x:v>
      </x:c>
      <x:c r="F36" s="29" t="str">
        <x:v>66d89dc261da454b790a95c78d15316afb40613311793f75c48444220bef4c7e</x:v>
      </x:c>
    </x:row>
    <x:row r="37" ht="128" customHeight="1">
      <x:c r="A37" s="29" t="str">
        <x:v>BTB-036</x:v>
      </x:c>
      <x:c r="B37" s="62" t="n">
        <x:v>46358</x:v>
      </x:c>
      <x:c r="C37" s="64" t="str">
        <x:v>P1</x:v>
      </x:c>
      <x:c r="D37" s="29" t="str">
        <x:v>Not knowing yet is a real answer. It becomes more useful when paired with a next step, a source of information, or a decision you are deliberately leaving open. You do not owe acquaintances a complete roadmap.
#BrokenToBalanced #LifeAfterSeparation #RebuildingLife</x:v>
      </x:c>
      <x:c r="E37" s="29" t="str">
        <x:v>No first-person memoir</x:v>
      </x:c>
      <x:c r="F37" s="29" t="str">
        <x:v>cf35aa72da93aa8ea7433989aa5b75aaad21468381ea030a0596035b77d607cd</x:v>
      </x:c>
    </x:row>
    <x:row r="38" ht="128" customHeight="1">
      <x:c r="A38" s="29" t="str">
        <x:v>BTB-037</x:v>
      </x:c>
      <x:c r="B38" s="62" t="n">
        <x:v>46359</x:v>
      </x:c>
      <x:c r="C38" s="64" t="str">
        <x:v>P2</x:v>
      </x:c>
      <x:c r="D38" s="29" t="str">
        <x:v>Needing support does not mean one relationship must carry everything. A broader support list can also respect the limits of the people who care about you. This exercise is about options, not measuring how many friends you have.
#BrokenToBalanced #RebuildingLife #HonestConversations</x:v>
      </x:c>
      <x:c r="E38" s="29" t="str">
        <x:v>No first-person memoir</x:v>
      </x:c>
      <x:c r="F38" s="29" t="str">
        <x:v>c3de04841ecb42dae46f3028ea6d13134166999c1a5f19898b5ef056e50a58e4</x:v>
      </x:c>
    </x:row>
    <x:row r="39" ht="128" customHeight="1">
      <x:c r="A39" s="29" t="str">
        <x:v>BTB-038</x:v>
      </x:c>
      <x:c r="B39" s="62" t="n">
        <x:v>46360</x:v>
      </x:c>
      <x:c r="C39" s="64" t="str">
        <x:v>P5</x:v>
      </x:c>
      <x:c r="D39" s="29" t="str">
        <x:v>Career changes can involve trade-offs. This is not an instruction to accept unsafe work or ignore your longer-term goals. It is permission to evaluate a role against the life you need to support now, not only the title you once expected.
#BrokenToBalanced #StartingAgain #PracticalSteps</x:v>
      </x:c>
      <x:c r="E39" s="29" t="str">
        <x:v>No first-person memoir</x:v>
      </x:c>
      <x:c r="F39" s="29" t="str">
        <x:v>dc68c2bcb2b1c964821d4439643e0fac8f4cfdf7d94fd3c9e0baffb931745834</x:v>
      </x:c>
    </x:row>
    <x:row r="40" ht="128" customHeight="1">
      <x:c r="A40" s="29" t="str">
        <x:v>BTB-039</x:v>
      </x:c>
      <x:c r="B40" s="62" t="n">
        <x:v>46361</x:v>
      </x:c>
      <x:c r="C40" s="64" t="str">
        <x:v>P3</x:v>
      </x:c>
      <x:c r="D40" s="29" t="str">
        <x:v>This is a general parenting reflection. It does not tell you to dismiss concerns or avoid necessary safeguarding action. The distinction is between listening to a child and making them responsible for investigating or explaining adult behaviour.
#BrokenToBalanced #Fatherhood #ParentingAfterSeparation</x:v>
      </x:c>
      <x:c r="E40" s="29" t="str">
        <x:v>No first-person memoir</x:v>
      </x:c>
      <x:c r="F40" s="29" t="str">
        <x:v>352526eb449af65abe5054fef09a21450f03f58e568a2ddd5e9a90419786a812</x:v>
      </x:c>
    </x:row>
    <x:row r="41" ht="128" customHeight="1">
      <x:c r="A41" s="29" t="str">
        <x:v>BTB-040</x:v>
      </x:c>
      <x:c r="B41" s="62" t="n">
        <x:v>46362</x:v>
      </x:c>
      <x:c r="C41" s="64" t="str">
        <x:v>P4</x:v>
      </x:c>
      <x:c r="D41" s="29" t="str">
        <x:v>Trust is not an all-or-nothing switch in this reflection. You may feel comfortable with one kind of openness and not another. This post is not a diagnostic checklist or a promise that careful observation can eliminate every risk.
#BrokenToBalanced #Relationships #PersonalBoundaries</x:v>
      </x:c>
      <x:c r="E41" s="29" t="str">
        <x:v>No first-person memoir</x:v>
      </x:c>
      <x:c r="F41" s="29" t="str">
        <x:v>9b11b68002d326adc54d886bba28ed387a9d619028f8d6565e26de2a2722c0e7</x:v>
      </x:c>
    </x:row>
    <x:row r="42" ht="128" customHeight="1">
      <x:c r="A42" s="29" t="str">
        <x:v>BTB-041</x:v>
      </x:c>
      <x:c r="B42" s="62" t="n">
        <x:v>46363</x:v>
      </x:c>
      <x:c r="C42" s="64" t="str">
        <x:v>P1</x:v>
      </x:c>
      <x:c r="D42" s="29" t="str">
        <x:v>Public milestones are only one way of describing progress. Private decisions also count, especially when they reduce a problem you have been avoiding. You do not need to make your rebuilding visually impressive for it to be worth doing.
#BrokenToBalanced #LifeAfterSeparation #RebuildingLife</x:v>
      </x:c>
      <x:c r="E42" s="29" t="str">
        <x:v>No first-person memoir</x:v>
      </x:c>
      <x:c r="F42" s="29" t="str">
        <x:v>d54a89208e66ac6c145d30930b52c336229c8c0b2180d2ab21bf4487158503b2</x:v>
      </x:c>
    </x:row>
    <x:row r="43" ht="128" customHeight="1">
      <x:c r="A43" s="29" t="str">
        <x:v>BTB-042</x:v>
      </x:c>
      <x:c r="B43" s="62" t="n">
        <x:v>46364</x:v>
      </x:c>
      <x:c r="C43" s="64" t="str">
        <x:v>P2</x:v>
      </x:c>
      <x:c r="D43" s="29" t="str">
        <x:v>The purpose is to make your next conversation clearer, not to score yourself. If you feel unsafe or need urgent help, use local emergency or crisis services. For persistent difficulties, a qualified professional can help you explore what is happening.
#BrokenToBalanced #RebuildingLife #HonestConversations</x:v>
      </x:c>
      <x:c r="E43" s="29" t="str">
        <x:v>No first-person memoir</x:v>
      </x:c>
      <x:c r="F43" s="29" t="str">
        <x:v>cc2e9fb78c30b8cc0fb1652ef80cdd1197f8e098791288e629bdd06f3d94f8c0</x:v>
      </x:c>
    </x:row>
    <x:row r="44" ht="128" customHeight="1">
      <x:c r="A44" s="29" t="str">
        <x:v>BTB-043</x:v>
      </x:c>
      <x:c r="B44" s="62" t="n">
        <x:v>46365</x:v>
      </x:c>
      <x:c r="C44" s="64" t="str">
        <x:v>P5</x:v>
      </x:c>
      <x:c r="D44" s="29" t="str">
        <x:v>This is not a productivity competition. It is a way to make expectations more honest. The goal is a week you can use, not a calendar that looks disciplined while hiding everything necessary to keep daily life running.
#BrokenToBalanced #StartingAgain #PracticalSteps</x:v>
      </x:c>
      <x:c r="E44" s="29" t="str">
        <x:v>No first-person memoir</x:v>
      </x:c>
      <x:c r="F44" s="29" t="str">
        <x:v>b7ef584e99bdebcdba478c501c9f25aac1769a83498b06b7acc2400694937d01</x:v>
      </x:c>
    </x:row>
    <x:row r="45" ht="128" customHeight="1">
      <x:c r="A45" s="29" t="str">
        <x:v>BTB-044</x:v>
      </x:c>
      <x:c r="B45" s="62" t="n">
        <x:v>46366</x:v>
      </x:c>
      <x:c r="C45" s="64" t="str">
        <x:v>P6</x:v>
      </x:c>
      <x:c r="D45" s="29" t="str">
        <x:v>A changed plan is not automatically a resolved problem. I want the content here to be honest about the unfinished parts as well as the effort. Useful perspective should not depend on pretending that every struggle eventually produces a business success story.
#BrokenToBalanced #StillBuilding #LifeAfterSeparation</x:v>
      </x:c>
      <x:c r="E45" s="29" t="str">
        <x:v>Required</x:v>
      </x:c>
      <x:c r="F45" s="29" t="str">
        <x:v>732974af7f63e88002a2f87e41cbcdb12f7066e5ce6b7858f1d8e5cb7b8c2ee1</x:v>
      </x:c>
    </x:row>
    <x:row r="46" ht="128" customHeight="1">
      <x:c r="A46" s="29" t="str">
        <x:v>BTB-045</x:v>
      </x:c>
      <x:c r="B46" s="62" t="n">
        <x:v>46367</x:v>
      </x:c>
      <x:c r="C46" s="64" t="str">
        <x:v>P3</x:v>
      </x:c>
      <x:c r="D46" s="29" t="str">
        <x:v>This is not a claim that all family situations are the same. It is a reminder that care is not limited to special outings. A shared ordinary activity may fit the day better than a plan built around proving yourself.
#BrokenToBalanced #Fatherhood #ParentingAfterSeparation</x:v>
      </x:c>
      <x:c r="E46" s="29" t="str">
        <x:v>No first-person memoir</x:v>
      </x:c>
      <x:c r="F46" s="29" t="str">
        <x:v>f83f9eef813c861019fa8f52269c86f2e66376f46edc8c9077a9132ed169afd6</x:v>
      </x:c>
    </x:row>
    <x:row r="47" ht="128" customHeight="1">
      <x:c r="A47" s="29" t="str">
        <x:v>BTB-046</x:v>
      </x:c>
      <x:c r="B47" s="62" t="n">
        <x:v>46368</x:v>
      </x:c>
      <x:c r="C47" s="64" t="str">
        <x:v>P4</x:v>
      </x:c>
      <x:c r="D47" s="29" t="str">
        <x:v>A pause can be a reasonable choice without becoming a silent test of whether someone will chase you. This script is for ordinary, safe disagreements. It does not require continued access for someone who is threatening or controlling.
#BrokenToBalanced #Relationships #PersonalBoundaries</x:v>
      </x:c>
      <x:c r="E47" s="29" t="str">
        <x:v>No first-person memoir</x:v>
      </x:c>
      <x:c r="F47" s="29" t="str">
        <x:v>113860d43598a95b067a8d33a696deaf36a9ceb49e31526a04988fec7f840bd2</x:v>
      </x:c>
    </x:row>
    <x:row r="48" ht="128" customHeight="1">
      <x:c r="A48" s="29" t="str">
        <x:v>BTB-047</x:v>
      </x:c>
      <x:c r="B48" s="62" t="n">
        <x:v>46369</x:v>
      </x:c>
      <x:c r="C48" s="64" t="str">
        <x:v>P5</x:v>
      </x:c>
      <x:c r="D48" s="29" t="str">
        <x:v>Good filing is not legal strategy. It is practical preparation for finding what you need without reopening every conversation. Use secure storage and appropriate advice for sensitive material; do not post private records to prove your story online.
#BrokenToBalanced #StartingAgain #PracticalSteps</x:v>
      </x:c>
      <x:c r="E48" s="29" t="str">
        <x:v>No first-person memoir</x:v>
      </x:c>
      <x:c r="F48" s="29" t="str">
        <x:v>5773beac29495e5c3f7c152941045b62861bf4f7b048afe9cba95f9249f63998</x:v>
      </x:c>
    </x:row>
    <x:row r="49" ht="128" customHeight="1">
      <x:c r="A49" s="29" t="str">
        <x:v>BTB-048</x:v>
      </x:c>
      <x:c r="B49" s="62" t="n">
        <x:v>46370</x:v>
      </x:c>
      <x:c r="C49" s="64" t="str">
        <x:v>P1</x:v>
      </x:c>
      <x:c r="D49" s="29" t="str">
        <x:v>This is not pressure to make a dramatic change. It is a prompt to notice what daily survival may have left little room for. The next step can be modest and still point toward a fuller life.
#BrokenToBalanced #LifeAfterSeparation #RebuildingLife</x:v>
      </x:c>
      <x:c r="E49" s="29" t="str">
        <x:v>No first-person memoir</x:v>
      </x:c>
      <x:c r="F49" s="29" t="str">
        <x:v>8c82925fa5b4cd633dc5bfede78d1fa1f83c11e9a0d343dd9cc077bed917aa35</x:v>
      </x:c>
    </x:row>
    <x:row r="50" ht="128" customHeight="1">
      <x:c r="A50" s="29" t="str">
        <x:v>BTB-049</x:v>
      </x:c>
      <x:c r="B50" s="62" t="n">
        <x:v>46371</x:v>
      </x:c>
      <x:c r="C50" s="64" t="str">
        <x:v>P2</x:v>
      </x:c>
      <x:c r="D50" s="29" t="str">
        <x:v>This is a suggestion about optional checking, not an instruction to block required communication or destroy records. You can notice what a habit is asking for and consider whether there is a more useful place to take that need.
#BrokenToBalanced #RebuildingLife #HonestConversations</x:v>
      </x:c>
      <x:c r="E50" s="29" t="str">
        <x:v>No first-person memoir</x:v>
      </x:c>
      <x:c r="F50" s="29" t="str">
        <x:v>6e4c3301ca500e18205aa86679a8763e4241a59d4f8c324ccf5c02e117da3a17</x:v>
      </x:c>
    </x:row>
    <x:row r="51" ht="128" customHeight="1">
      <x:c r="A51" s="29" t="str">
        <x:v>BTB-050</x:v>
      </x:c>
      <x:c r="B51" s="62" t="n">
        <x:v>46372</x:v>
      </x:c>
      <x:c r="C51" s="64" t="str">
        <x:v>P3</x:v>
      </x:c>
      <x:c r="D51" s="29" t="str">
        <x:v>Listening does not require agreement with every interpretation or an immediate solution. This is an example of acknowledging a child's experience while keeping adult conflict separate. Adapt language to their age, circumstances, and any professional guidance you have.
#BrokenToBalanced #Fatherhood #ParentingAfterSeparation</x:v>
      </x:c>
      <x:c r="E51" s="29" t="str">
        <x:v>No first-person memoir</x:v>
      </x:c>
      <x:c r="F51" s="29" t="str">
        <x:v>efbfa4d1ce2e2122326f93f02b39bab5892258bf6eb18ed796ba306a09ae32c5</x:v>
      </x:c>
    </x:row>
    <x:row r="52" ht="128" customHeight="1">
      <x:c r="A52" s="29" t="str">
        <x:v>BTB-051</x:v>
      </x:c>
      <x:c r="B52" s="62" t="n">
        <x:v>46373</x:v>
      </x:c>
      <x:c r="C52" s="64" t="str">
        <x:v>P4</x:v>
      </x:c>
      <x:c r="D52" s="29" t="str">
        <x:v>This is not a rule that imperfect people cannot be trusted. Everyone has limits and difficult days. The useful question is what happens across ordinary situations, including when something does not go according to plan.
#BrokenToBalanced #Relationships #PersonalBoundaries</x:v>
      </x:c>
      <x:c r="E52" s="29" t="str">
        <x:v>No first-person memoir</x:v>
      </x:c>
      <x:c r="F52" s="29" t="str">
        <x:v>ada53c185f3c057e11830d7c2489195e0b19c54a56eae934696e95658d882ff9</x:v>
      </x:c>
    </x:row>
    <x:row r="53" ht="128" customHeight="1">
      <x:c r="A53" s="29" t="str">
        <x:v>BTB-052</x:v>
      </x:c>
      <x:c r="B53" s="62" t="n">
        <x:v>46374</x:v>
      </x:c>
      <x:c r="C53" s="64" t="str">
        <x:v>P5</x:v>
      </x:c>
      <x:c r="D53" s="29" t="str">
        <x:v>There may be real gaps to address, and there may be factors you cannot see. This is not a promise that persistence guarantees a role. It is a way to keep the next decision grounded in information instead of a global judgment about yourself.
#BrokenToBalanced #StartingAgain #PracticalSteps</x:v>
      </x:c>
      <x:c r="E53" s="29" t="str">
        <x:v>No first-person memoir</x:v>
      </x:c>
      <x:c r="F53" s="29" t="str">
        <x:v>2581748739acd883b4781ea405ab4cfc5cff71788cc101576a0fca5b7197557c</x:v>
      </x:c>
    </x:row>
    <x:row r="54" ht="128" customHeight="1">
      <x:c r="A54" s="29" t="str">
        <x:v>BTB-053</x:v>
      </x:c>
      <x:c r="B54" s="62" t="n">
        <x:v>46375</x:v>
      </x:c>
      <x:c r="C54" s="64" t="str">
        <x:v>P1</x:v>
      </x:c>
      <x:c r="D54" s="29" t="str">
        <x:v>You do not have to make every personal conversation available to everyone. A respectful limit can protect both your privacy and other people's dignity. Where someone is genuinely offering support, you can choose a better time and setting to talk.
#BrokenToBalanced #LifeAfterSeparation #RebuildingLife</x:v>
      </x:c>
      <x:c r="E54" s="29" t="str">
        <x:v>No first-person memoir</x:v>
      </x:c>
      <x:c r="F54" s="29" t="str">
        <x:v>e9cda7520e9bde883b5e928f0916c7e90b5cd6288cc4c09abdfdbac818eb8f02</x:v>
      </x:c>
    </x:row>
    <x:row r="55" ht="128" customHeight="1">
      <x:c r="A55" s="29" t="str">
        <x:v>BTB-054</x:v>
      </x:c>
      <x:c r="B55" s="62" t="n">
        <x:v>46376</x:v>
      </x:c>
      <x:c r="C55" s="64" t="str">
        <x:v>P2</x:v>
      </x:c>
      <x:c r="D55" s="29" t="str">
        <x:v>This is permission, not an instruction to be cheerful. You do not owe anyone a constant display of either pain or resilience. Your experience can contain moments that do not fit a single mood.
#BrokenToBalanced #RebuildingLife #HonestConversations</x:v>
      </x:c>
      <x:c r="E55" s="29" t="str">
        <x:v>No first-person memoir</x:v>
      </x:c>
      <x:c r="F55" s="29" t="str">
        <x:v>2203db419f1ad57bad0dc01cb6b1c1ccd5897f1a7b7a428eb52a305d08dc8923</x:v>
      </x:c>
    </x:row>
    <x:row r="56" ht="128" customHeight="1">
      <x:c r="A56" s="29" t="str">
        <x:v>BTB-055</x:v>
      </x:c>
      <x:c r="B56" s="62" t="n">
        <x:v>46377</x:v>
      </x:c>
      <x:c r="C56" s="64" t="str">
        <x:v>P3</x:v>
      </x:c>
      <x:c r="D56" s="29" t="str">
        <x:v>This is a general principle, not a script for every age or circumstance. Some questions need careful professional advice. The goal is to avoid giving a child information they cannot reasonably be expected to carry or resolve.
#BrokenToBalanced #Fatherhood #ParentingAfterSeparation</x:v>
      </x:c>
      <x:c r="E56" s="29" t="str">
        <x:v>No first-person memoir</x:v>
      </x:c>
      <x:c r="F56" s="29" t="str">
        <x:v>ee9a943005a9864328332333a332e34f4e3ae12a1fe6abde2da93ba9cefff3ef</x:v>
      </x:c>
    </x:row>
    <x:row r="57" ht="128" customHeight="1">
      <x:c r="A57" s="29" t="str">
        <x:v>BTB-056</x:v>
      </x:c>
      <x:c r="B57" s="62" t="n">
        <x:v>46378</x:v>
      </x:c>
      <x:c r="C57" s="64" t="str">
        <x:v>P4</x:v>
      </x:c>
      <x:c r="D57" s="29" t="str">
        <x:v>Helping can be generous and meaningful. This post asks whether it has become your only route to belonging in a particular relationship. You can value care without making endless usefulness the price of connection.
#BrokenToBalanced #Relationships #PersonalBoundaries</x:v>
      </x:c>
      <x:c r="E57" s="29" t="str">
        <x:v>No first-person memoir</x:v>
      </x:c>
      <x:c r="F57" s="29" t="str">
        <x:v>1d1d4fed60d54f56797d0bae224f572af66f7702e3be27954d4380289f42c302</x:v>
      </x:c>
    </x:row>
    <x:row r="58" ht="128" customHeight="1">
      <x:c r="A58" s="29" t="str">
        <x:v>BTB-057</x:v>
      </x:c>
      <x:c r="B58" s="62" t="n">
        <x:v>46379</x:v>
      </x:c>
      <x:c r="C58" s="64" t="str">
        <x:v>P5</x:v>
      </x:c>
      <x:c r="D58" s="29" t="str">
        <x:v>Ambition is not the problem. Unexamined commitments can be. This is a planning exercise, not business or financial advice: give one idea a fair test without asking it to rescue every part of your life.
#BrokenToBalanced #StartingAgain #PracticalSteps</x:v>
      </x:c>
      <x:c r="E58" s="29" t="str">
        <x:v>No first-person memoir</x:v>
      </x:c>
      <x:c r="F58" s="29" t="str">
        <x:v>04cf242d524c1c2df5cef1fd2a4bb106a2f40222f0d2d847027a0e569bbd98e8</x:v>
      </x:c>
    </x:row>
    <x:row r="59" ht="128" customHeight="1">
      <x:c r="A59" s="29" t="str">
        <x:v>BTB-058</x:v>
      </x:c>
      <x:c r="B59" s="62" t="n">
        <x:v>46380</x:v>
      </x:c>
      <x:c r="C59" s="64" t="str">
        <x:v>P1</x:v>
      </x:c>
      <x:c r="D59" s="29" t="str">
        <x:v>“Start from zero” can describe how a situation feels without being a complete inventory. A realistic account should include what was lost and what is still present. Both matter when you decide how to move forward.
#BrokenToBalanced #LifeAfterSeparation #RebuildingLife</x:v>
      </x:c>
      <x:c r="E59" s="29" t="str">
        <x:v>No first-person memoir</x:v>
      </x:c>
      <x:c r="F59" s="29" t="str">
        <x:v>5ac538a903989e3e2d8c089f8e06d55fc0f51a35cb9bc46c903d1f7ce9b19454</x:v>
      </x:c>
    </x:row>
    <x:row r="60" ht="128" customHeight="1">
      <x:c r="A60" s="29" t="str">
        <x:v>BTB-059</x:v>
      </x:c>
      <x:c r="B60" s="62" t="n">
        <x:v>46381</x:v>
      </x:c>
      <x:c r="C60" s="64" t="str">
        <x:v>P2</x:v>
      </x:c>
      <x:c r="D60" s="29" t="str">
        <x:v>Support can be well intended and still miss what you need. A specific request gives the conversation a better chance of being useful. It also leaves room for the other person to be honest about what they can offer.
#BrokenToBalanced #RebuildingLife #HonestConversations</x:v>
      </x:c>
      <x:c r="E60" s="29" t="str">
        <x:v>No first-person memoir</x:v>
      </x:c>
      <x:c r="F60" s="29" t="str">
        <x:v>1fdef47ed420fcd1b75fcd6f95cb13506b8e7740b05a8c0c66c75f99725d6661</x:v>
      </x:c>
    </x:row>
    <x:row r="61" ht="128" customHeight="1">
      <x:c r="A61" s="29" t="str">
        <x:v>BTB-060</x:v>
      </x:c>
      <x:c r="B61" s="62" t="n">
        <x:v>46382</x:v>
      </x:c>
      <x:c r="C61" s="64" t="str">
        <x:v>P6</x:v>
      </x:c>
      <x:c r="D61" s="29" t="str">
        <x:v>This is the editorial standard behind Broken to Balanced. The content can be simple without pretending life is simple. I would rather offer one honest, usable idea than a dramatic promise the page cannot keep.
#BrokenToBalanced #StillBuilding #LifeAfterSeparation</x:v>
      </x:c>
      <x:c r="E61" s="29" t="str">
        <x:v>Required</x:v>
      </x:c>
      <x:c r="F61" s="29" t="str">
        <x:v>16b089c0e9f510ba242c22ae400cbae6ee4c13fb5e49ad780b5a912a3aec7475</x:v>
      </x:c>
    </x:row>
    <x:row r="62" ht="128" customHeight="1">
      <x:c r="A62" s="29" t="str">
        <x:v>BTB-061</x:v>
      </x:c>
      <x:c r="B62" s="62" t="n">
        <x:v>46383</x:v>
      </x:c>
      <x:c r="C62" s="64" t="str">
        <x:v>P1</x:v>
      </x:c>
      <x:c r="D62" s="29" t="str">
        <x:v>A useful lesson names a behaviour you can change. A global sentence like “I ruin everything” does not. This post offers a way to reflect, not a judgment about responsibility in a relationship I have not assessed.
#BrokenToBalanced #LifeAfterSeparation #RebuildingLife</x:v>
      </x:c>
      <x:c r="E62" s="29" t="str">
        <x:v>No first-person memoir</x:v>
      </x:c>
      <x:c r="F62" s="29" t="str">
        <x:v>5addd66235a6a0ecd6d026bb4d77c910c9a4e31fe46bc6d490ed646b3af8b849</x:v>
      </x:c>
    </x:row>
    <x:row r="63" ht="128" customHeight="1">
      <x:c r="A63" s="29" t="str">
        <x:v>BTB-062</x:v>
      </x:c>
      <x:c r="B63" s="62" t="n">
        <x:v>46384</x:v>
      </x:c>
      <x:c r="C63" s="64" t="str">
        <x:v>P2</x:v>
      </x:c>
      <x:c r="D63" s="29" t="str">
        <x:v>A review is not an excuse to ignore a real problem. It is a way to make the next response more specific. You can acknowledge that something went badly without concluding that every effort before it had no value.
#BrokenToBalanced #RebuildingLife #HonestConversations</x:v>
      </x:c>
      <x:c r="E63" s="29" t="str">
        <x:v>No first-person memoir</x:v>
      </x:c>
      <x:c r="F63" s="29" t="str">
        <x:v>06815cb3a53f95ee4e9374534a23df58f08f25457919073ee0147f4b60e7b5be</x:v>
      </x:c>
    </x:row>
    <x:row r="64" ht="128" customHeight="1">
      <x:c r="A64" s="29" t="str">
        <x:v>BTB-063</x:v>
      </x:c>
      <x:c r="B64" s="62" t="n">
        <x:v>46385</x:v>
      </x:c>
      <x:c r="C64" s="64" t="str">
        <x:v>P3</x:v>
      </x:c>
      <x:c r="D64" s="29" t="str">
        <x:v>This is suggested wording, not a claim about something I said in my own family. Adapt it to the child's age and situation. The purpose is a clear acknowledgment, not a speech that makes a child responsible for making you feel better.
#BrokenToBalanced #Fatherhood #ParentingAfterSeparation</x:v>
      </x:c>
      <x:c r="E64" s="29" t="str">
        <x:v>No first-person memoir</x:v>
      </x:c>
      <x:c r="F64" s="29" t="str">
        <x:v>2d2ac9e1a14747335a9d678ad41619b0323d547b794eb05db1bc1f80b8faae16</x:v>
      </x:c>
    </x:row>
    <x:row r="65" ht="128" customHeight="1">
      <x:c r="A65" s="29" t="str">
        <x:v>BTB-064</x:v>
      </x:c>
      <x:c r="B65" s="62" t="n">
        <x:v>46386</x:v>
      </x:c>
      <x:c r="C65" s="64" t="str">
        <x:v>P4</x:v>
      </x:c>
      <x:c r="D65" s="29" t="str">
        <x:v>This communication example does not guarantee a positive response. It simply makes the request easier to understand. For situations involving intimidation or coercion, appropriate safety support matters more than finding a perfect sentence.
#BrokenToBalanced #Relationships #PersonalBoundaries</x:v>
      </x:c>
      <x:c r="E65" s="29" t="str">
        <x:v>No first-person memoir</x:v>
      </x:c>
      <x:c r="F65" s="29" t="str">
        <x:v>d4be8d6f51713e6b2d3b5a6b463a0972f94a7d218ed2f37f3d7d5c4f9a52af42</x:v>
      </x:c>
    </x:row>
    <x:row r="66" ht="128" customHeight="1">
      <x:c r="A66" s="29" t="str">
        <x:v>BTB-065</x:v>
      </x:c>
      <x:c r="B66" s="62" t="n">
        <x:v>46387</x:v>
      </x:c>
      <x:c r="C66" s="64" t="str">
        <x:v>P5</x:v>
      </x:c>
      <x:c r="D66" s="29" t="str">
        <x:v>A new year can be a useful moment to reflect. It does not erase existing responsibilities or require an instant transformation. A small, honest plan can take your hopes seriously without making your worth depend on January's results.
#BrokenToBalanced #StartingAgain #PracticalSteps</x:v>
      </x:c>
      <x:c r="E66" s="29" t="str">
        <x:v>No first-person memoir</x:v>
      </x:c>
      <x:c r="F66" s="29" t="str">
        <x:v>7f5ce1cab51e654f7c77ab3c96873e31bfc37d4ed50a2b4a77b90570492d7064</x:v>
      </x:c>
    </x:row>
    <x:row r="67" ht="128" customHeight="1">
      <x:c r="A67" s="29" t="str">
        <x:v>BTB-066</x:v>
      </x:c>
      <x:c r="B67" s="62" t="n">
        <x:v>46388</x:v>
      </x:c>
      <x:c r="C67" s="64" t="str">
        <x:v>P1</x:v>
      </x:c>
      <x:c r="D67" s="29" t="str">
        <x:v>Change does not need a dramatic announcement to be real. It also does not require rejection of every previous version of yourself. The next useful decision is a better starting point than an impossible demand for total reinvention.
#BrokenToBalanced #LifeAfterSeparation #RebuildingLife</x:v>
      </x:c>
      <x:c r="E67" s="29" t="str">
        <x:v>No first-person memoir</x:v>
      </x:c>
      <x:c r="F67" s="29" t="str">
        <x:v>97e9f3c24d5782807151212bcf049537fd0857909c70f21eeac599b32f2681a8</x:v>
      </x:c>
    </x:row>
    <x:row r="68" ht="128" customHeight="1">
      <x:c r="A68" s="29" t="str">
        <x:v>BTB-067</x:v>
      </x:c>
      <x:c r="B68" s="62" t="n">
        <x:v>46389</x:v>
      </x:c>
      <x:c r="C68" s="64" t="str">
        <x:v>P2</x:v>
      </x:c>
      <x:c r="D68" s="29" t="str">
        <x:v>This is not a request to suppress anger or tolerate harm. It is a distinction between having a feeling and deciding what action best addresses the issue. Some situations call for protection, documentation, or qualified advice rather than conversation.
#BrokenToBalanced #RebuildingLife #HonestConversations</x:v>
      </x:c>
      <x:c r="E68" s="29" t="str">
        <x:v>No first-person memoir</x:v>
      </x:c>
      <x:c r="F68" s="29" t="str">
        <x:v>987fc50ef19103da8de0fcb404ced10746c2a0ed1aaed6a6d89c6a381725b75f</x:v>
      </x:c>
    </x:row>
    <x:row r="69" ht="128" customHeight="1">
      <x:c r="A69" s="29" t="str">
        <x:v>BTB-068</x:v>
      </x:c>
      <x:c r="B69" s="62" t="n">
        <x:v>46390</x:v>
      </x:c>
      <x:c r="C69" s="64" t="str">
        <x:v>P5</x:v>
      </x:c>
      <x:c r="D69" s="29" t="str">
        <x:v>This is a practical workflow suggestion, not a claim about how every brain works. Test whether it helps you complete a specific task. A system that prevents necessary communication or adds more stress is not the right system for that situation.
#BrokenToBalanced #StartingAgain #PracticalSteps</x:v>
      </x:c>
      <x:c r="E69" s="29" t="str">
        <x:v>No first-person memoir</x:v>
      </x:c>
      <x:c r="F69" s="29" t="str">
        <x:v>d47521b1112ffc6f28e735d4275cf8d2e2e242fd22853f605224f0b75347de80</x:v>
      </x:c>
    </x:row>
    <x:row r="70" ht="128" customHeight="1">
      <x:c r="A70" s="29" t="str">
        <x:v>BTB-069</x:v>
      </x:c>
      <x:c r="B70" s="62" t="n">
        <x:v>46391</x:v>
      </x:c>
      <x:c r="C70" s="64" t="str">
        <x:v>P3</x:v>
      </x:c>
      <x:c r="D70" s="29" t="str">
        <x:v>This general reflection does not assume all contact is safe or appropriate. It concerns how to respond to a feeling without making a child responsible for defending their attachment to either parent. Existing arrangements and safety guidance remain important.
#BrokenToBalanced #Fatherhood #ParentingAfterSeparation</x:v>
      </x:c>
      <x:c r="E70" s="29" t="str">
        <x:v>No first-person memoir</x:v>
      </x:c>
      <x:c r="F70" s="29" t="str">
        <x:v>8c26e7327e04b48f87de17bada1cfef3952d0ecef3bfe8870d8f76ff222960da</x:v>
      </x:c>
    </x:row>
    <x:row r="71" ht="128" customHeight="1">
      <x:c r="A71" s="29" t="str">
        <x:v>BTB-070</x:v>
      </x:c>
      <x:c r="B71" s="62" t="n">
        <x:v>46392</x:v>
      </x:c>
      <x:c r="C71" s="64" t="str">
        <x:v>P4</x:v>
      </x:c>
      <x:c r="D71" s="29" t="str">
        <x:v>This is a reflective framework, not a definition you must adopt. People use the word forgiveness differently. What matters here is not letting one word conceal several choices about trust, contact, safety, and your own needs.
#BrokenToBalanced #Relationships #PersonalBoundaries</x:v>
      </x:c>
      <x:c r="E71" s="29" t="str">
        <x:v>No first-person memoir</x:v>
      </x:c>
      <x:c r="F71" s="29" t="str">
        <x:v>5a976177aedc1cad0aef07820278023e40a6bd6649aea37a797495046af568cd</x:v>
      </x:c>
    </x:row>
    <x:row r="72" ht="128" customHeight="1">
      <x:c r="A72" s="29" t="str">
        <x:v>BTB-071</x:v>
      </x:c>
      <x:c r="B72" s="62" t="n">
        <x:v>46393</x:v>
      </x:c>
      <x:c r="C72" s="64" t="str">
        <x:v>P1</x:v>
      </x:c>
      <x:c r="D72" s="29" t="str">
        <x:v>This is not a demand to “find the old you.” Some changes are real and some responsibilities remain. The useful question is whether a valued part of your life can have a new form rather than being left entirely in the past.
#BrokenToBalanced #LifeAfterSeparation #RebuildingLife</x:v>
      </x:c>
      <x:c r="E72" s="29" t="str">
        <x:v>No first-person memoir</x:v>
      </x:c>
      <x:c r="F72" s="29" t="str">
        <x:v>ab61205ec99ef09b07564c839b4da4e417dc2edcda6099fb047cd719820f04dc</x:v>
      </x:c>
    </x:row>
    <x:row r="73" ht="128" customHeight="1">
      <x:c r="A73" s="29" t="str">
        <x:v>BTB-072</x:v>
      </x:c>
      <x:c r="B73" s="62" t="n">
        <x:v>46394</x:v>
      </x:c>
      <x:c r="C73" s="64" t="str">
        <x:v>P2</x:v>
      </x:c>
      <x:c r="D73" s="29" t="str">
        <x:v>Writing something down is not a guarantee that your mind will let it go. It can give tomorrow a clear place to begin. That is a modest purpose, and a more honest one than promising instant calm.
#BrokenToBalanced #RebuildingLife #HonestConversations</x:v>
      </x:c>
      <x:c r="E73" s="29" t="str">
        <x:v>No first-person memoir</x:v>
      </x:c>
      <x:c r="F73" s="29" t="str">
        <x:v>29c4cf017501391e8b856eb1ef51ca2acec597042183a4d657051fa00e903919</x:v>
      </x:c>
    </x:row>
    <x:row r="74" ht="128" customHeight="1">
      <x:c r="A74" s="29" t="str">
        <x:v>BTB-073</x:v>
      </x:c>
      <x:c r="B74" s="62" t="n">
        <x:v>46395</x:v>
      </x:c>
      <x:c r="C74" s="64" t="str">
        <x:v>P5</x:v>
      </x:c>
      <x:c r="D74" s="29" t="str">
        <x:v>This is about a social conversation, not a financial plan. A smaller-cost option can still make space for connection. It is also acceptable to decline when time, money, or energy are not available.
#BrokenToBalanced #StartingAgain #PracticalSteps</x:v>
      </x:c>
      <x:c r="E74" s="29" t="str">
        <x:v>No first-person memoir</x:v>
      </x:c>
      <x:c r="F74" s="29" t="str">
        <x:v>e7e94e4c496740f12275ffad0b23dcd76a9442d29aee7292b70d77072008a7b0</x:v>
      </x:c>
    </x:row>
    <x:row r="75" ht="128" customHeight="1">
      <x:c r="A75" s="29" t="str">
        <x:v>BTB-074</x:v>
      </x:c>
      <x:c r="B75" s="62" t="n">
        <x:v>46396</x:v>
      </x:c>
      <x:c r="C75" s="64" t="str">
        <x:v>P6</x:v>
      </x:c>
      <x:c r="D75" s="29" t="str">
        <x:v>Being honest about parenting does not require exposing a child. The focus here stays on what adults can consider and change. Individual circumstances, safety needs, and professional advice matter more than a social-media rule.
#BrokenToBalanced #StillBuilding #LifeAfterSeparation</x:v>
      </x:c>
      <x:c r="E75" s="29" t="str">
        <x:v>Required</x:v>
      </x:c>
      <x:c r="F75" s="29" t="str">
        <x:v>264a201545cb961811c602d4e0e91525701b93c59ae45b427aefdb0791379b27</x:v>
      </x:c>
    </x:row>
    <x:row r="76" ht="128" customHeight="1">
      <x:c r="A76" s="29" t="str">
        <x:v>BTB-075</x:v>
      </x:c>
      <x:c r="B76" s="62" t="n">
        <x:v>46397</x:v>
      </x:c>
      <x:c r="C76" s="64" t="str">
        <x:v>P3</x:v>
      </x:c>
      <x:c r="D76" s="29" t="str">
        <x:v>This is an organisational prompt, not an interpretation of parental rights. The right process depends on your circumstances and any applicable agreement or order. Clear information is the goal; a public scorecard about who cares more is not.
#BrokenToBalanced #Fatherhood #ParentingAfterSeparation</x:v>
      </x:c>
      <x:c r="E76" s="29" t="str">
        <x:v>No first-person memoir</x:v>
      </x:c>
      <x:c r="F76" s="29" t="str">
        <x:v>dacc07f3f86890e74a8f1521ba926004531229f4d047950353a88b0a52f214de</x:v>
      </x:c>
    </x:row>
    <x:row r="77" ht="128" customHeight="1">
      <x:c r="A77" s="29" t="str">
        <x:v>BTB-076</x:v>
      </x:c>
      <x:c r="B77" s="62" t="n">
        <x:v>46398</x:v>
      </x:c>
      <x:c r="C77" s="64" t="str">
        <x:v>P4</x:v>
      </x:c>
      <x:c r="D77" s="29" t="str">
        <x:v>Specific language can make your position easier to understand without making it softer than you intend. This is not advice to negotiate with someone who is threatening you or to ignore binding responsibilities.
#BrokenToBalanced #Relationships #PersonalBoundaries</x:v>
      </x:c>
      <x:c r="E77" s="29" t="str">
        <x:v>No first-person memoir</x:v>
      </x:c>
      <x:c r="F77" s="29" t="str">
        <x:v>0b40561233b0372b035b3944f53567a872ed2c62ece68ceb05ee557a6bec9275</x:v>
      </x:c>
    </x:row>
    <x:row r="78" ht="128" customHeight="1">
      <x:c r="A78" s="29" t="str">
        <x:v>BTB-077</x:v>
      </x:c>
      <x:c r="B78" s="62" t="n">
        <x:v>46399</x:v>
      </x:c>
      <x:c r="C78" s="64" t="str">
        <x:v>P5</x:v>
      </x:c>
      <x:c r="D78" s="29" t="str">
        <x:v>Saying “later” is more useful when you know what later means and why you chose it. This original planning exercise makes room for focus without requiring you to abandon every other idea permanently.
#BrokenToBalanced #StartingAgain #PracticalSteps</x:v>
      </x:c>
      <x:c r="E78" s="29" t="str">
        <x:v>No first-person memoir</x:v>
      </x:c>
      <x:c r="F78" s="29" t="str">
        <x:v>6976be739c9087e8fe78e4160d2d79868e01671d4b5b05d9cf9b8248919f6565</x:v>
      </x:c>
    </x:row>
    <x:row r="79" ht="128" customHeight="1">
      <x:c r="A79" s="29" t="str">
        <x:v>BTB-078</x:v>
      </x:c>
      <x:c r="B79" s="62" t="n">
        <x:v>46400</x:v>
      </x:c>
      <x:c r="C79" s="64" t="str">
        <x:v>P1</x:v>
      </x:c>
      <x:c r="D79" s="29" t="str">
        <x:v>This is not a statement that you made no mistakes. It is a request to examine mistakes at the scale where they can be understood and addressed. An identity built around failure leaves little room for learning or a different next action.
#BrokenToBalanced #LifeAfterSeparation #RebuildingLife</x:v>
      </x:c>
      <x:c r="E79" s="29" t="str">
        <x:v>No first-person memoir</x:v>
      </x:c>
      <x:c r="F79" s="29" t="str">
        <x:v>6455f8cf2969b74ba8fb7cc575b21ac7ac5fe7cb5b7b5cabe7c7e44e0fa47dba</x:v>
      </x:c>
    </x:row>
    <x:row r="80" ht="128" customHeight="1">
      <x:c r="A80" s="29" t="str">
        <x:v>BTB-079</x:v>
      </x:c>
      <x:c r="B80" s="62" t="n">
        <x:v>46401</x:v>
      </x:c>
      <x:c r="C80" s="64" t="str">
        <x:v>P2</x:v>
      </x:c>
      <x:c r="D80" s="29" t="str">
        <x:v>There can be value in learning from experience without treating learning as another obligation. This page is allowed to offer hope without insisting that every loss happened for a beneficial reason.
#BrokenToBalanced #RebuildingLife #HonestConversations</x:v>
      </x:c>
      <x:c r="E80" s="29" t="str">
        <x:v>No first-person memoir</x:v>
      </x:c>
      <x:c r="F80" s="29" t="str">
        <x:v>ee33ebad8255b8860ec92492312de564a7eef37af8ee37c9490ebba77a72952b</x:v>
      </x:c>
    </x:row>
    <x:row r="81" ht="128" customHeight="1">
      <x:c r="A81" s="29" t="str">
        <x:v>BTB-080</x:v>
      </x:c>
      <x:c r="B81" s="62" t="n">
        <x:v>46402</x:v>
      </x:c>
      <x:c r="C81" s="64" t="str">
        <x:v>P3</x:v>
      </x:c>
      <x:c r="D81" s="29" t="str">
        <x:v>The wording is an example, not a statement about an event in my family. Keep information truthful and age-appropriate. If the change raises safety concerns, use the relevant professional or emergency pathway rather than treating it as ordinary logistics.
#BrokenToBalanced #Fatherhood #ParentingAfterSeparation</x:v>
      </x:c>
      <x:c r="E81" s="29" t="str">
        <x:v>No first-person memoir</x:v>
      </x:c>
      <x:c r="F81" s="29" t="str">
        <x:v>01b9616b7b9f0208602768e787bcf436fa3bc434e384fdf63473fa0784ae1e3f</x:v>
      </x:c>
    </x:row>
    <x:row r="82" ht="128" customHeight="1">
      <x:c r="A82" s="29" t="str">
        <x:v>BTB-081</x:v>
      </x:c>
      <x:c r="B82" s="62" t="n">
        <x:v>46403</x:v>
      </x:c>
      <x:c r="C82" s="64" t="str">
        <x:v>P4</x:v>
      </x:c>
      <x:c r="D82" s="29" t="str">
        <x:v>This post does not advocate returning to a past relationship. It offers a practical question for a decision some people consider. Intensity, nostalgia, and a convincing apology are not substitutes for discussing the conditions of everyday life.
#BrokenToBalanced #Relationships #PersonalBoundaries</x:v>
      </x:c>
      <x:c r="E82" s="29" t="str">
        <x:v>No first-person memoir</x:v>
      </x:c>
      <x:c r="F82" s="29" t="str">
        <x:v>b540f109e7350e31d3e98a8f38e1fc897c5143660eb8607b5b13788bcfac4ce0</x:v>
      </x:c>
    </x:row>
    <x:row r="83" ht="128" customHeight="1">
      <x:c r="A83" s="29" t="str">
        <x:v>BTB-082</x:v>
      </x:c>
      <x:c r="B83" s="62" t="n">
        <x:v>46404</x:v>
      </x:c>
      <x:c r="C83" s="64" t="str">
        <x:v>P5</x:v>
      </x:c>
      <x:c r="D83" s="29" t="str">
        <x:v>This is preparation for getting advice, not advice about the outcome of your matter. The professional's role, your jurisdiction, and the facts will determine what guidance is appropriate. A clear question helps you use that conversation well.
#BrokenToBalanced #StartingAgain #PracticalSteps</x:v>
      </x:c>
      <x:c r="E83" s="29" t="str">
        <x:v>No first-person memoir</x:v>
      </x:c>
      <x:c r="F83" s="29" t="str">
        <x:v>b796dca1278cd231dc51f348f92aa82b26418381931f075b3281dec7bc6b933e</x:v>
      </x:c>
    </x:row>
    <x:row r="84" ht="128" customHeight="1">
      <x:c r="A84" s="29" t="str">
        <x:v>BTB-083</x:v>
      </x:c>
      <x:c r="B84" s="62" t="n">
        <x:v>46405</x:v>
      </x:c>
      <x:c r="C84" s="64" t="str">
        <x:v>P1</x:v>
      </x:c>
      <x:c r="D84" s="29" t="str">
        <x:v>This is not advice to ignore legal correspondence, harmful misinformation, or a safety issue. It is a prompt to choose the right audience and process. A public debate is not automatically the best place to address a serious concern.
#BrokenToBalanced #LifeAfterSeparation #RebuildingLife</x:v>
      </x:c>
      <x:c r="E84" s="29" t="str">
        <x:v>No first-person memoir</x:v>
      </x:c>
      <x:c r="F84" s="29" t="str">
        <x:v>9f875775493c0ee5a6fab459ade94da74f51193486b84fafe456375b56707f73</x:v>
      </x:c>
    </x:row>
    <x:row r="85" ht="128" customHeight="1">
      <x:c r="A85" s="29" t="str">
        <x:v>BTB-084</x:v>
      </x:c>
      <x:c r="B85" s="62" t="n">
        <x:v>46406</x:v>
      </x:c>
      <x:c r="C85" s="64" t="str">
        <x:v>P2</x:v>
      </x:c>
      <x:c r="D85" s="29" t="str">
        <x:v>Other people's progress can be real without being a fair measure of yours. This is not a demand to stop noticing differences. It is a way to turn a broad feeling of being behind into a more specific, useful question.
#BrokenToBalanced #RebuildingLife #HonestConversations</x:v>
      </x:c>
      <x:c r="E85" s="29" t="str">
        <x:v>No first-person memoir</x:v>
      </x:c>
      <x:c r="F85" s="29" t="str">
        <x:v>dbee8cf370b213fa13c0e629aeb566847bcaa3ffb3b3258b2d5fb7694fedb70e</x:v>
      </x:c>
    </x:row>
    <x:row r="86" ht="128" customHeight="1">
      <x:c r="A86" s="29" t="str">
        <x:v>BTB-085</x:v>
      </x:c>
      <x:c r="B86" s="62" t="n">
        <x:v>46407</x:v>
      </x:c>
      <x:c r="C86" s="64" t="str">
        <x:v>P3</x:v>
      </x:c>
      <x:c r="D86" s="29" t="str">
        <x:v>Plans matter, and so does flexibility. This reflection is not about abandoning limits or accepting harmful behaviour. It is about not asking a child to perform appreciation in order to reassure an adult about their relationship.
#BrokenToBalanced #Fatherhood #ParentingAfterSeparation</x:v>
      </x:c>
      <x:c r="E86" s="29" t="str">
        <x:v>No first-person memoir</x:v>
      </x:c>
      <x:c r="F86" s="29" t="str">
        <x:v>8f1b700f1b3ab65cb214e6d1546bd62d66e675287c45304fc26360cfb477693f</x:v>
      </x:c>
    </x:row>
    <x:row r="87" ht="128" customHeight="1">
      <x:c r="A87" s="29" t="str">
        <x:v>BTB-086</x:v>
      </x:c>
      <x:c r="B87" s="62" t="n">
        <x:v>46408</x:v>
      </x:c>
      <x:c r="C87" s="64" t="str">
        <x:v>P4</x:v>
      </x:c>
      <x:c r="D87" s="29" t="str">
        <x:v>Relationships can include care and honest capacity at the same time. This post is about optional access to your time, not a justification for neglecting responsibilities. Clear communication helps distinguish a limit from indifference.
#BrokenToBalanced #Relationships #PersonalBoundaries</x:v>
      </x:c>
      <x:c r="E87" s="29" t="str">
        <x:v>No first-person memoir</x:v>
      </x:c>
      <x:c r="F87" s="29" t="str">
        <x:v>36577eab959c36e44887cc382f821e0941d86a935bc3debe7e54770169c527ae</x:v>
      </x:c>
    </x:row>
    <x:row r="88" ht="128" customHeight="1">
      <x:c r="A88" s="29" t="str">
        <x:v>BTB-087</x:v>
      </x:c>
      <x:c r="B88" s="62" t="n">
        <x:v>46409</x:v>
      </x:c>
      <x:c r="C88" s="64" t="str">
        <x:v>P5</x:v>
      </x:c>
      <x:c r="D88" s="29" t="str">
        <x:v>This is an organisation exercise, not a spending hierarchy for your circumstances. Obligations and options differ. The point is to make the information visible before turning an emotionally difficult afternoon into a financial decision you have not fully considered.
#BrokenToBalanced #StartingAgain #PracticalSteps</x:v>
      </x:c>
      <x:c r="E88" s="29" t="str">
        <x:v>No first-person memoir</x:v>
      </x:c>
      <x:c r="F88" s="29" t="str">
        <x:v>848a05438c80846bfd1782de301f6fab34f6df3041564c1cc42280512f1b1806</x:v>
      </x:c>
    </x:row>
    <x:row r="89" ht="128" customHeight="1">
      <x:c r="A89" s="29" t="str">
        <x:v>BTB-088</x:v>
      </x:c>
      <x:c r="B89" s="62" t="n">
        <x:v>46410</x:v>
      </x:c>
      <x:c r="C89" s="64" t="str">
        <x:v>P1</x:v>
      </x:c>
      <x:c r="D89" s="29" t="str">
        <x:v>This is hope without a timetable. Some constraints are significant and deserve practical support. A small opening does not remove them, but it can make room for an interest or connection that is not defined by the current problem.
#BrokenToBalanced #LifeAfterSeparation #RebuildingLife</x:v>
      </x:c>
      <x:c r="E89" s="29" t="str">
        <x:v>No first-person memoir</x:v>
      </x:c>
      <x:c r="F89" s="29" t="str">
        <x:v>d2550c5b692908e836587d219a2df7b2f845b7a6a0822f8e5164d33c0f984cf9</x:v>
      </x:c>
    </x:row>
    <x:row r="90" ht="128" customHeight="1">
      <x:c r="A90" s="29" t="str">
        <x:v>BTB-089</x:v>
      </x:c>
      <x:c r="B90" s="62" t="n">
        <x:v>46411</x:v>
      </x:c>
      <x:c r="C90" s="64" t="str">
        <x:v>P2</x:v>
      </x:c>
      <x:c r="D90" s="29" t="str">
        <x:v>This is an optional reflection practice, not a requirement to monitor every feeling. Keep it brief and private. Its purpose is to notice what fits your life rather than grading yourself against a universal recovery plan.
#BrokenToBalanced #RebuildingLife #HonestConversations</x:v>
      </x:c>
      <x:c r="E90" s="29" t="str">
        <x:v>No first-person memoir</x:v>
      </x:c>
      <x:c r="F90" s="29" t="str">
        <x:v>00bf6038d463371bdd7cd80f5b94faf9d6e22894061de02b2f73e3e4fd315d83</x:v>
      </x:c>
    </x:row>
    <x:row r="91" ht="128" customHeight="1">
      <x:c r="A91" s="29" t="str">
        <x:v>BTB-090</x:v>
      </x:c>
      <x:c r="B91" s="62" t="n">
        <x:v>46412</x:v>
      </x:c>
      <x:c r="C91" s="64" t="str">
        <x:v>P6</x:v>
      </x:c>
      <x:c r="D91" s="29" t="str">
        <x:v>A lived-experience page should not become a carefully edited claim of perfection. The useful question is what we can examine and do differently now. The private details of other people's lives are not needed to ask it.
#BrokenToBalanced #StillBuilding #LifeAfterSeparation</x:v>
      </x:c>
      <x:c r="E91" s="29" t="str">
        <x:v>Required</x:v>
      </x:c>
      <x:c r="F91" s="29" t="str">
        <x:v>adbb6d92ae79b04138af4224f5772fd9ecb56a8c477e02e9e823c7bb5818e810</x:v>
      </x:c>
    </x:row>
    <x:row r="92" ht="128" customHeight="1">
      <x:c r="A92" s="29" t="str">
        <x:v>BTB-091</x:v>
      </x:c>
      <x:c r="B92" s="62" t="n">
        <x:v>46413</x:v>
      </x:c>
      <x:c r="C92" s="64" t="str">
        <x:v>P1</x:v>
      </x:c>
      <x:c r="D92" s="29" t="str">
        <x:v>You are allowed to be more than the difficult thing people already know about you. New connection can begin with ordinary curiosity. There is room for your story without requiring it to lead every conversation.
#BrokenToBalanced #LifeAfterSeparation #RebuildingLife</x:v>
      </x:c>
      <x:c r="E92" s="29" t="str">
        <x:v>No first-person memoir</x:v>
      </x:c>
      <x:c r="F92" s="29" t="str">
        <x:v>b5c6cfb324f8dc2d94fab8134918447077d86e06141e7299c3392b29a5a718ab</x:v>
      </x:c>
    </x:row>
    <x:row r="93" ht="128" customHeight="1">
      <x:c r="A93" s="29" t="str">
        <x:v>BTB-092</x:v>
      </x:c>
      <x:c r="B93" s="62" t="n">
        <x:v>46414</x:v>
      </x:c>
      <x:c r="C93" s="64" t="str">
        <x:v>P2</x:v>
      </x:c>
      <x:c r="D93" s="29" t="str">
        <x:v>Sometimes a broad question is worth exploring with support. Sometimes you simply need a clearer account of the present problem. Start at the scale where a useful next step becomes visible.
#BrokenToBalanced #RebuildingLife #HonestConversations</x:v>
      </x:c>
      <x:c r="E93" s="29" t="str">
        <x:v>No first-person memoir</x:v>
      </x:c>
      <x:c r="F93" s="29" t="str">
        <x:v>900e7510c05027a1211e6ec8fd90e4a6157d5c3bac896d9bf93ca430d76c8c4a</x:v>
      </x:c>
    </x:row>
    <x:row r="94" ht="128" customHeight="1">
      <x:c r="A94" s="29" t="str">
        <x:v>BTB-093</x:v>
      </x:c>
      <x:c r="B94" s="62" t="n">
        <x:v>46415</x:v>
      </x:c>
      <x:c r="C94" s="64" t="str">
        <x:v>P3</x:v>
      </x:c>
      <x:c r="D94" s="29" t="str">
        <x:v>There is no single correct way to celebrate after separation. What matters in this reflection is keeping the occasion centred on the child rather than using it to settle an adult comparison. Safety and existing arrangements still come first.
#BrokenToBalanced #Fatherhood #ParentingAfterSeparation</x:v>
      </x:c>
      <x:c r="E94" s="29" t="str">
        <x:v>No first-person memoir</x:v>
      </x:c>
      <x:c r="F94" s="29" t="str">
        <x:v>a729f972022e1a099ce0d1abdf5245ad0527f98f2f45a46615620696a987a9da</x:v>
      </x:c>
    </x:row>
    <x:row r="95" ht="128" customHeight="1">
      <x:c r="A95" s="29" t="str">
        <x:v>BTB-094</x:v>
      </x:c>
      <x:c r="B95" s="62" t="n">
        <x:v>46416</x:v>
      </x:c>
      <x:c r="C95" s="64" t="str">
        <x:v>P4</x:v>
      </x:c>
      <x:c r="D95" s="29" t="str">
        <x:v>You do not owe anyone trust before you feel comfortable. You also deserve room to gather information about the actual person in front of you. Openness and caution can be considered together rather than treated as opposites.
#BrokenToBalanced #Relationships #PersonalBoundaries</x:v>
      </x:c>
      <x:c r="E95" s="29" t="str">
        <x:v>No first-person memoir</x:v>
      </x:c>
      <x:c r="F95" s="29" t="str">
        <x:v>7ce6e70a1c46b414939e01a818dc19cb48f280c061375654a1371081a6145d93</x:v>
      </x:c>
    </x:row>
    <x:row r="96" ht="128" customHeight="1">
      <x:c r="A96" s="29" t="str">
        <x:v>BTB-095</x:v>
      </x:c>
      <x:c r="B96" s="62" t="n">
        <x:v>46417</x:v>
      </x:c>
      <x:c r="C96" s="64" t="str">
        <x:v>P5</x:v>
      </x:c>
      <x:c r="D96" s="29" t="str">
        <x:v>Some answers have real consequences, and it is understandable to care about them. The distinction is between staying appropriately informed and putting every unrelated part of life on hold. Your actual deadlines and professional advice take priority.
#BrokenToBalanced #StartingAgain #PracticalSteps</x:v>
      </x:c>
      <x:c r="E96" s="29" t="str">
        <x:v>No first-person memoir</x:v>
      </x:c>
      <x:c r="F96" s="29" t="str">
        <x:v>279a3b9844771de7d688c65fb6facbf471bba69817b05fbf68918fe27f7282ba</x:v>
      </x:c>
    </x:row>
    <x:row r="97" ht="128" customHeight="1">
      <x:c r="A97" s="29" t="str">
        <x:v>BTB-096</x:v>
      </x:c>
      <x:c r="B97" s="62" t="n">
        <x:v>46418</x:v>
      </x:c>
      <x:c r="C97" s="64" t="str">
        <x:v>P1</x:v>
      </x:c>
      <x:c r="D97" s="29" t="str">
        <x:v>Age can bring real constraints and responsibilities. This is not a denial of them. It is a challenge to the idea that an earlier plan has the authority to declare every later possibility invalid.
#BrokenToBalanced #LifeAfterSeparation #RebuildingLife</x:v>
      </x:c>
      <x:c r="E97" s="29" t="str">
        <x:v>No first-person memoir</x:v>
      </x:c>
      <x:c r="F97" s="29" t="str">
        <x:v>7b12a42bf3f1beb81c51e6e911fc1c035868b9d788028cb95eb43d23435227c5</x:v>
      </x:c>
    </x:row>
    <x:row r="98" ht="128" customHeight="1">
      <x:c r="A98" s="29" t="str">
        <x:v>BTB-097</x:v>
      </x:c>
      <x:c r="B98" s="62" t="n">
        <x:v>46419</x:v>
      </x:c>
      <x:c r="C98" s="64" t="str">
        <x:v>P2</x:v>
      </x:c>
      <x:c r="D98" s="29" t="str">
        <x:v>Asking early is not a claim that you are helpless. It is a request to understand what is happening and what might help. You do not need to prove you are at a breaking point before seeking appropriate care.
#BrokenToBalanced #RebuildingLife #HonestConversations</x:v>
      </x:c>
      <x:c r="E98" s="29" t="str">
        <x:v>No first-person memoir</x:v>
      </x:c>
      <x:c r="F98" s="29" t="str">
        <x:v>dce0d469033119056e5d0a4d6eab8f0fbd3f327c9cd88ac8bf25d8d372b6f248</x:v>
      </x:c>
    </x:row>
    <x:row r="99" ht="128" customHeight="1">
      <x:c r="A99" s="29" t="str">
        <x:v>BTB-098</x:v>
      </x:c>
      <x:c r="B99" s="62" t="n">
        <x:v>46420</x:v>
      </x:c>
      <x:c r="C99" s="64" t="str">
        <x:v>P5</x:v>
      </x:c>
      <x:c r="D99" s="29" t="str">
        <x:v>No application can promise an offer. A focused process can still help you produce a clearer, more accurate submission. Treat feedback as information and protect time for responsibilities beyond the search.
#BrokenToBalanced #StartingAgain #PracticalSteps</x:v>
      </x:c>
      <x:c r="E99" s="29" t="str">
        <x:v>No first-person memoir</x:v>
      </x:c>
      <x:c r="F99" s="29" t="str">
        <x:v>f9852be46c99a7010afb1a08a71b2906fbfdbd8bf1c8bb7e0c07efe5499b8882</x:v>
      </x:c>
    </x:row>
    <x:row r="100" ht="128" customHeight="1">
      <x:c r="A100" s="29" t="str">
        <x:v>BTB-099</x:v>
      </x:c>
      <x:c r="B100" s="62" t="n">
        <x:v>46421</x:v>
      </x:c>
      <x:c r="C100" s="64" t="str">
        <x:v>P3</x:v>
      </x:c>
      <x:c r="D100" s="29" t="str">
        <x:v>This is about adult conflict, not a demand that a child report every ordinary detail of family life. The important boundary is not making a child carry a secret to protect an adult from another adult's reaction.
#BrokenToBalanced #Fatherhood #ParentingAfterSeparation</x:v>
      </x:c>
      <x:c r="E100" s="29" t="str">
        <x:v>No first-person memoir</x:v>
      </x:c>
      <x:c r="F100" s="29" t="str">
        <x:v>56b0eef030976258ed1965daaab9cc23e31b69fad318956ff650f3c9a93bfad1</x:v>
      </x:c>
    </x:row>
    <x:row r="101" ht="128" customHeight="1">
      <x:c r="A101" s="29" t="str">
        <x:v>BTB-100</x:v>
      </x:c>
      <x:c r="B101" s="62" t="n">
        <x:v>46422</x:v>
      </x:c>
      <x:c r="C101" s="64" t="str">
        <x:v>P4</x:v>
      </x:c>
      <x:c r="D101" s="29" t="str">
        <x:v>Couples make different choices about shared access. Consent, safety, and respect matter. This post does not tell you how to investigate someone; it asks whether the underlying concern is being addressed in a way both people can freely discuss.
#BrokenToBalanced #Relationships #PersonalBoundaries</x:v>
      </x:c>
      <x:c r="E101" s="29" t="str">
        <x:v>No first-person memoir</x:v>
      </x:c>
      <x:c r="F101" s="29" t="str">
        <x:v>1f337911753299bcc1682e3ad5044a195e08e0295da78efaa5cca46fa5c67133</x:v>
      </x:c>
    </x:row>
    <x:row r="102" ht="128" customHeight="1">
      <x:c r="A102" s="29" t="str">
        <x:v>BTB-101</x:v>
      </x:c>
      <x:c r="B102" s="62" t="n">
        <x:v>46423</x:v>
      </x:c>
      <x:c r="C102" s="64" t="str">
        <x:v>P1</x:v>
      </x:c>
      <x:c r="D102" s="29" t="str">
        <x:v>Anger may be part of your experience, but it does not have to be your project manager. A decision can be strong without being a message to someone from the past. Your own life is a sufficient reason to build.
#BrokenToBalanced #LifeAfterSeparation #RebuildingLife</x:v>
      </x:c>
      <x:c r="E102" s="29" t="str">
        <x:v>No first-person memoir</x:v>
      </x:c>
      <x:c r="F102" s="29" t="str">
        <x:v>cbab27f0e58651a444a6b99f868d97f66c143611280179043a31460cb3f3da6e</x:v>
      </x:c>
    </x:row>
    <x:row r="103" ht="128" customHeight="1">
      <x:c r="A103" s="29" t="str">
        <x:v>BTB-102</x:v>
      </x:c>
      <x:c r="B103" s="62" t="n">
        <x:v>46424</x:v>
      </x:c>
      <x:c r="C103" s="64" t="str">
        <x:v>P2</x:v>
      </x:c>
      <x:c r="D103" s="29" t="str">
        <x:v>Relatability is not the only measure of useful content. A post can describe your pain accurately and still leave you with nowhere to go. Choose information that helps you think more clearly rather than demanding your loyalty to a permanent mood.
#BrokenToBalanced #RebuildingLife #HonestConversations</x:v>
      </x:c>
      <x:c r="E103" s="29" t="str">
        <x:v>No first-person memoir</x:v>
      </x:c>
      <x:c r="F103" s="29" t="str">
        <x:v>834306b25a4d4e695b2fe5f4f8fdf635ee8996dd65a9a98ab31320351241e369</x:v>
      </x:c>
    </x:row>
    <x:row r="104" ht="128" customHeight="1">
      <x:c r="A104" s="29" t="str">
        <x:v>BTB-103</x:v>
      </x:c>
      <x:c r="B104" s="62" t="n">
        <x:v>46425</x:v>
      </x:c>
      <x:c r="C104" s="64" t="str">
        <x:v>P5</x:v>
      </x:c>
      <x:c r="D104" s="29" t="str">
        <x:v>There are seasons when the work is mostly ordinary upkeep. That does not make the effort meaningless. Recognising it can help you make a more honest plan for what else you can reasonably take on.
#BrokenToBalanced #StartingAgain #PracticalSteps</x:v>
      </x:c>
      <x:c r="E104" s="29" t="str">
        <x:v>No first-person memoir</x:v>
      </x:c>
      <x:c r="F104" s="29" t="str">
        <x:v>97cacaf47b57712822c7651b5adeba1d158ade9213462194a0b10df4c6076f38</x:v>
      </x:c>
    </x:row>
    <x:row r="105" ht="128" customHeight="1">
      <x:c r="A105" s="29" t="str">
        <x:v>BTB-104</x:v>
      </x:c>
      <x:c r="B105" s="62" t="n">
        <x:v>46426</x:v>
      </x:c>
      <x:c r="C105" s="64" t="str">
        <x:v>P6</x:v>
      </x:c>
      <x:c r="D105" s="29" t="str">
        <x:v>Broken to Balanced is not a before-and-after advertisement for a life. It is a place to examine what rebuilding asks of us in practice, without manufacturing a finished ending for the sake of a better caption.
#BrokenToBalanced #StillBuilding #LifeAfterSeparation</x:v>
      </x:c>
      <x:c r="E105" s="29" t="str">
        <x:v>Required</x:v>
      </x:c>
      <x:c r="F105" s="29" t="str">
        <x:v>9e684f209c5631aa0a2047a8b757debe57dc426ec0df92bac07097b0c4f24d59</x:v>
      </x:c>
    </x:row>
    <x:row r="106" ht="128" customHeight="1">
      <x:c r="A106" s="29" t="str">
        <x:v>BTB-105</x:v>
      </x:c>
      <x:c r="B106" s="62" t="n">
        <x:v>46427</x:v>
      </x:c>
      <x:c r="C106" s="64" t="str">
        <x:v>P3</x:v>
      </x:c>
      <x:c r="D106" s="29" t="str">
        <x:v>Different factors can contribute to a child's difficulty, and a social post cannot determine the cause. The practical aim is to gather accurate information and support the child, not to use a school concern as evidence against another adult.
#BrokenToBalanced #Fatherhood #ParentingAfterSeparation</x:v>
      </x:c>
      <x:c r="E106" s="29" t="str">
        <x:v>No first-person memoir</x:v>
      </x:c>
      <x:c r="F106" s="29" t="str">
        <x:v>96262f5459e199c6e0c269ae17ebdff041fac025ae56fd8036a41da7aed74024</x:v>
      </x:c>
    </x:row>
    <x:row r="107" ht="128" customHeight="1">
      <x:c r="A107" s="29" t="str">
        <x:v>BTB-106</x:v>
      </x:c>
      <x:c r="B107" s="62" t="n">
        <x:v>46428</x:v>
      </x:c>
      <x:c r="C107" s="64" t="str">
        <x:v>P4</x:v>
      </x:c>
      <x:c r="D107" s="29" t="str">
        <x:v>Your history matters. So does the way you choose to share it. A useful conversation can explain what you need now without turning a third party into a story the new person must judge.
#BrokenToBalanced #Relationships #PersonalBoundaries</x:v>
      </x:c>
      <x:c r="E107" s="29" t="str">
        <x:v>No first-person memoir</x:v>
      </x:c>
      <x:c r="F107" s="29" t="str">
        <x:v>7e904543017d36c394e7a4264a8267b5a36e9a2e7a804946a523007a718e01de</x:v>
      </x:c>
    </x:row>
    <x:row r="108" ht="128" customHeight="1">
      <x:c r="A108" s="29" t="str">
        <x:v>BTB-107</x:v>
      </x:c>
      <x:c r="B108" s="62" t="n">
        <x:v>46429</x:v>
      </x:c>
      <x:c r="C108" s="64" t="str">
        <x:v>P5</x:v>
      </x:c>
      <x:c r="D108" s="29" t="str">
        <x:v>This is a planning suggestion, not a fixed formula for everyone. Some weekends are dominated by caregiving or work. The useful part is making the limits visible rather than treating unfinished tasks as proof you used the time badly.
#BrokenToBalanced #StartingAgain #PracticalSteps</x:v>
      </x:c>
      <x:c r="E108" s="29" t="str">
        <x:v>No first-person memoir</x:v>
      </x:c>
      <x:c r="F108" s="29" t="str">
        <x:v>01a2866a4aaac35fa502b062c51d76067e46e7fc8bb18fbbbb5edadeb8b33cc3</x:v>
      </x:c>
    </x:row>
    <x:row r="109" ht="128" customHeight="1">
      <x:c r="A109" s="29" t="str">
        <x:v>BTB-108</x:v>
      </x:c>
      <x:c r="B109" s="62" t="n">
        <x:v>46430</x:v>
      </x:c>
      <x:c r="C109" s="64" t="str">
        <x:v>P1</x:v>
      </x:c>
      <x:c r="D109" s="29" t="str">
        <x:v>Not every mistake can be undone, and not every regret has a simple lesson. This reflection asks whether there is a useful next action or a need for support. Punishing yourself repeatedly is not the only way to acknowledge the past.
#BrokenToBalanced #LifeAfterSeparation #RebuildingLife</x:v>
      </x:c>
      <x:c r="E109" s="29" t="str">
        <x:v>No first-person memoir</x:v>
      </x:c>
      <x:c r="F109" s="29" t="str">
        <x:v>cf03c20c537206304995590ddf78732a3aa37ffff94944b69162cd1d7f59609b</x:v>
      </x:c>
    </x:row>
    <x:row r="110" ht="128" customHeight="1">
      <x:c r="A110" s="29" t="str">
        <x:v>BTB-109</x:v>
      </x:c>
      <x:c r="B110" s="62" t="n">
        <x:v>46431</x:v>
      </x:c>
      <x:c r="C110" s="64" t="str">
        <x:v>P2</x:v>
      </x:c>
      <x:c r="D110" s="29" t="str">
        <x:v>Relationship status is not a scoreboard. A date on the calendar can carry memories without deciding what your future will look like. You are allowed an ordinary day instead of a performance of either romance or independence.
#BrokenToBalanced #RebuildingLife #HonestConversations</x:v>
      </x:c>
      <x:c r="E110" s="29" t="str">
        <x:v>No first-person memoir</x:v>
      </x:c>
      <x:c r="F110" s="29" t="str">
        <x:v>8cd32df1b42c4e0979b9adcf6faecbb6c6f06ff26b111e6144f8913885f13549</x:v>
      </x:c>
    </x:row>
    <x:row r="111" ht="128" customHeight="1">
      <x:c r="A111" s="29" t="str">
        <x:v>BTB-110</x:v>
      </x:c>
      <x:c r="B111" s="62" t="n">
        <x:v>46432</x:v>
      </x:c>
      <x:c r="C111" s="64" t="str">
        <x:v>P3</x:v>
      </x:c>
      <x:c r="D111" s="29" t="str">
        <x:v>This is a privacy and parenting boundary, not a criticism of ordinary family joy. The question is whether sharing serves the child or an adult argument. Some meaningful moments deserve to remain meaningful without becoming content.
#BrokenToBalanced #Fatherhood #ParentingAfterSeparation</x:v>
      </x:c>
      <x:c r="E111" s="29" t="str">
        <x:v>No first-person memoir</x:v>
      </x:c>
      <x:c r="F111" s="29" t="str">
        <x:v>283bb49d2e959fdbc163678a20479fe6d087daddaad2bb805f52e8634a2e4089</x:v>
      </x:c>
    </x:row>
    <x:row r="112" ht="128" customHeight="1">
      <x:c r="A112" s="29" t="str">
        <x:v>BTB-111</x:v>
      </x:c>
      <x:c r="B112" s="62" t="n">
        <x:v>46433</x:v>
      </x:c>
      <x:c r="C112" s="64" t="str">
        <x:v>P4</x:v>
      </x:c>
      <x:c r="D112" s="29" t="str">
        <x:v>There is no perfect relationship hidden behind a checklist. There are still important questions about respect and safety. A label or commitment should not make those questions unavailable.
#BrokenToBalanced #Relationships #PersonalBoundaries</x:v>
      </x:c>
      <x:c r="E112" s="29" t="str">
        <x:v>No first-person memoir</x:v>
      </x:c>
      <x:c r="F112" s="29" t="str">
        <x:v>4a1dc6150161e0c8fb6b0ad32a5870eb719bc89797b281f2c5f81940bb18dcea</x:v>
      </x:c>
    </x:row>
    <x:row r="113" ht="128" customHeight="1">
      <x:c r="A113" s="29" t="str">
        <x:v>BTB-112</x:v>
      </x:c>
      <x:c r="B113" s="62" t="n">
        <x:v>46434</x:v>
      </x:c>
      <x:c r="C113" s="64" t="str">
        <x:v>P5</x:v>
      </x:c>
      <x:c r="D113" s="29" t="str">
        <x:v>There is no need to turn a missed routine into an identity. Look at time, resources, competing responsibilities, and whether the plan was realistic. The aim is a usable restart, not an impressive punishment for having stopped.
#BrokenToBalanced #StartingAgain #PracticalSteps</x:v>
      </x:c>
      <x:c r="E113" s="29" t="str">
        <x:v>No first-person memoir</x:v>
      </x:c>
      <x:c r="F113" s="29" t="str">
        <x:v>c02a25ca1b4375f8fca891f1536d442ff04be9f681843ca938c0df7d98ce2d52</x:v>
      </x:c>
    </x:row>
    <x:row r="114" ht="128" customHeight="1">
      <x:c r="A114" s="29" t="str">
        <x:v>BTB-113</x:v>
      </x:c>
      <x:c r="B114" s="62" t="n">
        <x:v>46435</x:v>
      </x:c>
      <x:c r="C114" s="64" t="str">
        <x:v>P1</x:v>
      </x:c>
      <x:c r="D114" s="29" t="str">
        <x:v>Small administrative moments can carry personal meaning. You do not need to dismiss that meaning, and you do not need to let the form become your full introduction. Both the task and the feeling can be acknowledged.
#BrokenToBalanced #LifeAfterSeparation #RebuildingLife</x:v>
      </x:c>
      <x:c r="E114" s="29" t="str">
        <x:v>No first-person memoir</x:v>
      </x:c>
      <x:c r="F114" s="29" t="str">
        <x:v>7e1baf922c89cd8e973be9cd5c97fded2d7685a3acc12896fcc85fef43a20e2e</x:v>
      </x:c>
    </x:row>
    <x:row r="115" ht="128" customHeight="1">
      <x:c r="A115" s="29" t="str">
        <x:v>BTB-114</x:v>
      </x:c>
      <x:c r="B115" s="62" t="n">
        <x:v>46436</x:v>
      </x:c>
      <x:c r="C115" s="64" t="str">
        <x:v>P2</x:v>
      </x:c>
      <x:c r="D115" s="29" t="str">
        <x:v>Not every need has to be met in the same hour or by the same person. A more specific request can make room for both connection and capacity. You do not need to turn a complicated evening into a judgment about your ability to relate.
#BrokenToBalanced #RebuildingLife #HonestConversations</x:v>
      </x:c>
      <x:c r="E115" s="29" t="str">
        <x:v>No first-person memoir</x:v>
      </x:c>
      <x:c r="F115" s="29" t="str">
        <x:v>2015fe22d3484bbe215d2bcb8d0f0f3e86dc1499c8bd1cff01393ef78d5d934b</x:v>
      </x:c>
    </x:row>
    <x:row r="116" ht="128" customHeight="1">
      <x:c r="A116" s="29" t="str">
        <x:v>BTB-115</x:v>
      </x:c>
      <x:c r="B116" s="62" t="n">
        <x:v>46437</x:v>
      </x:c>
      <x:c r="C116" s="64" t="str">
        <x:v>P3</x:v>
      </x:c>
      <x:c r="D116" s="29" t="str">
        <x:v>This example concerns your own commitments, not a direction to change parenting arrangements. Children may respond differently depending on age and circumstances. Keep the acknowledgment simple, the next promise realistic, and adult disputes outside the conversation.
#BrokenToBalanced #Fatherhood #ParentingAfterSeparation</x:v>
      </x:c>
      <x:c r="E116" s="29" t="str">
        <x:v>No first-person memoir</x:v>
      </x:c>
      <x:c r="F116" s="29" t="str">
        <x:v>e942a6227eeb08ff371f010824526b6eebf3d57ceb1e7e23a5dc5c122781b669</x:v>
      </x:c>
    </x:row>
    <x:row r="117" ht="128" customHeight="1">
      <x:c r="A117" s="29" t="str">
        <x:v>BTB-116</x:v>
      </x:c>
      <x:c r="B117" s="62" t="n">
        <x:v>46438</x:v>
      </x:c>
      <x:c r="C117" s="64" t="str">
        <x:v>P4</x:v>
      </x:c>
      <x:c r="D117" s="29" t="str">
        <x:v>Excitement is not the problem. Leaving important expectations unspoken can create avoidable confusion. These are conversation prompts, not a compatibility test or a guarantee about how a relationship will unfold.
#BrokenToBalanced #Relationships #PersonalBoundaries</x:v>
      </x:c>
      <x:c r="E117" s="29" t="str">
        <x:v>No first-person memoir</x:v>
      </x:c>
      <x:c r="F117" s="29" t="str">
        <x:v>48e67a6318703d5a236ab341c62eefaec63fe3ab1143d36526bde86b87b25810</x:v>
      </x:c>
    </x:row>
    <x:row r="118" ht="128" customHeight="1">
      <x:c r="A118" s="29" t="str">
        <x:v>BTB-117</x:v>
      </x:c>
      <x:c r="B118" s="62" t="n">
        <x:v>46439</x:v>
      </x:c>
      <x:c r="C118" s="64" t="str">
        <x:v>P5</x:v>
      </x:c>
      <x:c r="D118" s="29" t="str">
        <x:v>This is an experiment in making commitments more honest. It does not mean you must keep a plan that becomes unsafe or unreasonable. Revising a commitment transparently is different from repeatedly promising a life you do not have the capacity to live.
#BrokenToBalanced #StartingAgain #PracticalSteps</x:v>
      </x:c>
      <x:c r="E118" s="29" t="str">
        <x:v>No first-person memoir</x:v>
      </x:c>
      <x:c r="F118" s="29" t="str">
        <x:v>1b8f56fbcb6e621f6ad28a0c7f2896cff836807727b5de161481c908d81db0bf</x:v>
      </x:c>
    </x:row>
    <x:row r="119" ht="128" customHeight="1">
      <x:c r="A119" s="29" t="str">
        <x:v>BTB-118</x:v>
      </x:c>
      <x:c r="B119" s="62" t="n">
        <x:v>46440</x:v>
      </x:c>
      <x:c r="C119" s="64" t="str">
        <x:v>P1</x:v>
      </x:c>
      <x:c r="D119" s="29" t="str">
        <x:v>This is not advice to stop seeking information you need for safety, legal matters, or responsibilities. It is a distinction between practical clarity and the emotional wish for an ending that fully explains itself.
#BrokenToBalanced #LifeAfterSeparation #RebuildingLife</x:v>
      </x:c>
      <x:c r="E119" s="29" t="str">
        <x:v>No first-person memoir</x:v>
      </x:c>
      <x:c r="F119" s="29" t="str">
        <x:v>c7d79c57919e2d6c1036c4a1738836dc93b8d770d7a8277c246513b3bcbe21a8</x:v>
      </x:c>
    </x:row>
    <x:row r="120" ht="128" customHeight="1">
      <x:c r="A120" s="29" t="str">
        <x:v>BTB-119</x:v>
      </x:c>
      <x:c r="B120" s="62" t="n">
        <x:v>46441</x:v>
      </x:c>
      <x:c r="C120" s="64" t="str">
        <x:v>P2</x:v>
      </x:c>
      <x:c r="D120" s="29" t="str">
        <x:v>A direct invitation is not a guarantee of the response you hope for. It does replace some uncertainty with an actual question. You can remain open to an explanation while also noticing whether the relationship has room for mutual effort.
#BrokenToBalanced #RebuildingLife #HonestConversations</x:v>
      </x:c>
      <x:c r="E120" s="29" t="str">
        <x:v>No first-person memoir</x:v>
      </x:c>
      <x:c r="F120" s="29" t="str">
        <x:v>f17edfca669977ff8da7db30c9a7b71c138ec05949048dac3946f5fc199d5a76</x:v>
      </x:c>
    </x:row>
    <x:row r="121" ht="128" customHeight="1">
      <x:c r="A121" s="29" t="str">
        <x:v>BTB-120</x:v>
      </x:c>
      <x:c r="B121" s="62" t="n">
        <x:v>46442</x:v>
      </x:c>
      <x:c r="C121" s="64" t="str">
        <x:v>P6</x:v>
      </x:c>
      <x:c r="D121" s="29" t="str">
        <x:v>Relevance matters, but so does what the brand refuses to do. Strong engagement is not permission to abandon accuracy or privacy. The long-term aim is a community that finds the content useful, not one trained to expect a new enemy every day.
#BrokenToBalanced #StillBuilding #LifeAfterSeparation</x:v>
      </x:c>
      <x:c r="E121" s="29" t="str">
        <x:v>Required</x:v>
      </x:c>
      <x:c r="F121" s="29" t="str">
        <x:v>e7a3e9732d2aa862c352719a18a98cf986be24bc39dfb92a9ab40ca9d8eb7765</x:v>
      </x:c>
    </x:row>
    <x:row r="122" ht="128" customHeight="1">
      <x:c r="A122" s="29" t="str">
        <x:v>BTB-121</x:v>
      </x:c>
      <x:c r="B122" s="62" t="n">
        <x:v>46443</x:v>
      </x:c>
      <x:c r="C122" s="64" t="str">
        <x:v>P1</x:v>
      </x:c>
      <x:c r="D122" s="29" t="str">
        <x:v>There is no requirement to feel better on demand. There is also no obligation to refuse a good moment when it arrives. The significance of the past does not have to depend on how much of the present you surrender to it.
#BrokenToBalanced #LifeAfterSeparation #RebuildingLife</x:v>
      </x:c>
      <x:c r="E122" s="29" t="str">
        <x:v>No first-person memoir</x:v>
      </x:c>
      <x:c r="F122" s="29" t="str">
        <x:v>96a4190c04d42db4a6917b91979432ccb44ded84397a0be36974508dc74a64cd</x:v>
      </x:c>
    </x:row>
    <x:row r="123" ht="128" customHeight="1">
      <x:c r="A123" s="29" t="str">
        <x:v>BTB-122</x:v>
      </x:c>
      <x:c r="B123" s="62" t="n">
        <x:v>46444</x:v>
      </x:c>
      <x:c r="C123" s="64" t="str">
        <x:v>P2</x:v>
      </x:c>
      <x:c r="D123" s="29" t="str">
        <x:v>This is an editorial communication tool, not advice on legal correspondence or evidence. Some content needs a formal response. The aim is to choose that deliberately instead of letting every provocative phrase dictate the shape of your reply.
#BrokenToBalanced #RebuildingLife #HonestConversations</x:v>
      </x:c>
      <x:c r="E123" s="29" t="str">
        <x:v>No first-person memoir</x:v>
      </x:c>
      <x:c r="F123" s="29" t="str">
        <x:v>330418d7da1e3ad2b2769fb71616c199dc77e5c8954f06c8d789e30a48fb5773</x:v>
      </x:c>
    </x:row>
    <x:row r="124" ht="128" customHeight="1">
      <x:c r="A124" s="29" t="str">
        <x:v>BTB-123</x:v>
      </x:c>
      <x:c r="B124" s="62" t="n">
        <x:v>46445</x:v>
      </x:c>
      <x:c r="C124" s="64" t="str">
        <x:v>P3</x:v>
      </x:c>
      <x:c r="D124" s="29" t="str">
        <x:v>This is a fictional example, not a private message or a legal rule. Clear requests should make the child's practical needs easier to manage. They should not be used to manufacture consent or override decision-making arrangements.
#BrokenToBalanced #Fatherhood #ParentingAfterSeparation</x:v>
      </x:c>
      <x:c r="E124" s="29" t="str">
        <x:v>No first-person memoir</x:v>
      </x:c>
      <x:c r="F124" s="29" t="str">
        <x:v>6eeb6cb19f70183159bc9fbe77669f4a5ee2a23f12f06cb20f51e06eba68fa6a</x:v>
      </x:c>
    </x:row>
    <x:row r="125" ht="128" customHeight="1">
      <x:c r="A125" s="29" t="str">
        <x:v>BTB-124</x:v>
      </x:c>
      <x:c r="B125" s="62" t="n">
        <x:v>46446</x:v>
      </x:c>
      <x:c r="C125" s="64" t="str">
        <x:v>P4</x:v>
      </x:c>
      <x:c r="D125" s="29" t="str">
        <x:v>This is not a rule about whether any relationship should continue. It is language for distinguishing acknowledgment from resolution. Some situations need qualified help, and some should not be approached as an ordinary repair conversation at all.
#BrokenToBalanced #Relationships #PersonalBoundaries</x:v>
      </x:c>
      <x:c r="E125" s="29" t="str">
        <x:v>No first-person memoir</x:v>
      </x:c>
      <x:c r="F125" s="29" t="str">
        <x:v>ed183972ba413f44474a0e778c60a72cbb03d9d3502010f4d4bf8b2928e5ce49</x:v>
      </x:c>
    </x:row>
    <x:row r="126" ht="128" customHeight="1">
      <x:c r="A126" s="29" t="str">
        <x:v>BTB-125</x:v>
      </x:c>
      <x:c r="B126" s="62" t="n">
        <x:v>46447</x:v>
      </x:c>
      <x:c r="C126" s="64" t="str">
        <x:v>P5</x:v>
      </x:c>
      <x:c r="D126" s="29" t="str">
        <x:v>This is not an instruction to rush. Waiting can be the correct choice when more information or support is needed. The purpose is to make waiting deliberate and informed rather than an automatic default.
#BrokenToBalanced #StartingAgain #PracticalSteps</x:v>
      </x:c>
      <x:c r="E126" s="29" t="str">
        <x:v>No first-person memoir</x:v>
      </x:c>
      <x:c r="F126" s="29" t="str">
        <x:v>6f22a51ac1001b56792f48b14745e3bb96e3c7a16a7e4a89691b53624126c11c</x:v>
      </x:c>
    </x:row>
    <x:row r="127" ht="128" customHeight="1">
      <x:c r="A127" s="29" t="str">
        <x:v>BTB-126</x:v>
      </x:c>
      <x:c r="B127" s="62" t="n">
        <x:v>46448</x:v>
      </x:c>
      <x:c r="C127" s="64" t="str">
        <x:v>P1</x:v>
      </x:c>
      <x:c r="D127" s="29" t="str">
        <x:v>Wanting a relationship and investing in your present life can coexist. This is not a message that you must be perfectly content alone before connecting with someone. It is permission to build a life now rather than treating it as a waiting room.
#BrokenToBalanced #LifeAfterSeparation #RebuildingLife</x:v>
      </x:c>
      <x:c r="E127" s="29" t="str">
        <x:v>No first-person memoir</x:v>
      </x:c>
      <x:c r="F127" s="29" t="str">
        <x:v>cd352d9f6317584e3eb00c5c17a3c22ffa085d49bd2db53ebb9abec5e74bb2f9</x:v>
      </x:c>
    </x:row>
    <x:row r="128" ht="128" customHeight="1">
      <x:c r="A128" s="29" t="str">
        <x:v>BTB-127</x:v>
      </x:c>
      <x:c r="B128" s="62" t="n">
        <x:v>46449</x:v>
      </x:c>
      <x:c r="C128" s="64" t="str">
        <x:v>P2</x:v>
      </x:c>
      <x:c r="D128" s="29" t="str">
        <x:v>A friend can care about the problem without every conversation becoming an update on it. Ordinary connection is not avoidance when you are also addressing what needs attention. You are allowed to want both understanding and a change of subject.
#BrokenToBalanced #RebuildingLife #HonestConversations</x:v>
      </x:c>
      <x:c r="E128" s="29" t="str">
        <x:v>No first-person memoir</x:v>
      </x:c>
      <x:c r="F128" s="29" t="str">
        <x:v>5cdda9095590d059340fdd43612d497888c2a6dbf3283764b01006380889aad4</x:v>
      </x:c>
    </x:row>
    <x:row r="129" ht="128" customHeight="1">
      <x:c r="A129" s="29" t="str">
        <x:v>BTB-128</x:v>
      </x:c>
      <x:c r="B129" s="62" t="n">
        <x:v>46450</x:v>
      </x:c>
      <x:c r="C129" s="64" t="str">
        <x:v>P5</x:v>
      </x:c>
      <x:c r="D129" s="29" t="str">
        <x:v>A practical record can help you describe your experience more clearly. It is not a claim that every past success guarantees a future opportunity. Its purpose is to make an honest account easier to access when confidence is not doing the job.
#BrokenToBalanced #StartingAgain #PracticalSteps</x:v>
      </x:c>
      <x:c r="E129" s="29" t="str">
        <x:v>No first-person memoir</x:v>
      </x:c>
      <x:c r="F129" s="29" t="str">
        <x:v>1323c818db97bce83fb643e00c936b392842907f359c9ce3014e35e5b3ab81f9</x:v>
      </x:c>
    </x:row>
    <x:row r="130" ht="128" customHeight="1">
      <x:c r="A130" s="29" t="str">
        <x:v>BTB-129</x:v>
      </x:c>
      <x:c r="B130" s="62" t="n">
        <x:v>46451</x:v>
      </x:c>
      <x:c r="C130" s="64" t="str">
        <x:v>P3</x:v>
      </x:c>
      <x:c r="D130" s="29" t="str">
        <x:v>This is a practical option, not a universal parenting prescription. A routine can be flexible and still have a purpose. Keep the focus on what is useful to your child rather than whether the day matches an imagined model of perfect parenting.
#BrokenToBalanced #Fatherhood #ParentingAfterSeparation</x:v>
      </x:c>
      <x:c r="E130" s="29" t="str">
        <x:v>No first-person memoir</x:v>
      </x:c>
      <x:c r="F130" s="29" t="str">
        <x:v>5e8bbea1d151e9d10daefc7b62c6ba1af3f13145ac56334473827ef59fcbe55e</x:v>
      </x:c>
    </x:row>
    <x:row r="131" ht="128" customHeight="1">
      <x:c r="A131" s="29" t="str">
        <x:v>BTB-130</x:v>
      </x:c>
      <x:c r="B131" s="62" t="n">
        <x:v>46452</x:v>
      </x:c>
      <x:c r="C131" s="64" t="str">
        <x:v>P4</x:v>
      </x:c>
      <x:c r="D131" s="29" t="str">
        <x:v>These are questions for a safe, ordinary disagreement. They do not guarantee that trust will return or that either person must continue the relationship. A practical agreement is one possible part of repair, not proof that every concern has been resolved.
#BrokenToBalanced #Relationships #PersonalBoundaries</x:v>
      </x:c>
      <x:c r="E131" s="29" t="str">
        <x:v>No first-person memoir</x:v>
      </x:c>
      <x:c r="F131" s="29" t="str">
        <x:v>9454648028737b54d3f518328a644667dbc0206d43b94f7b2f696c26541fe980</x:v>
      </x:c>
    </x:row>
    <x:row r="132" ht="128" customHeight="1">
      <x:c r="A132" s="29" t="str">
        <x:v>BTB-131</x:v>
      </x:c>
      <x:c r="B132" s="62" t="n">
        <x:v>46453</x:v>
      </x:c>
      <x:c r="C132" s="64" t="str">
        <x:v>P1</x:v>
      </x:c>
      <x:c r="D132" s="29" t="str">
        <x:v>Stability is not the same as having no ambition. It can be part of what makes future choices possible. You are allowed to value a life that works better without packaging it as an extraordinary transformation.
#BrokenToBalanced #LifeAfterSeparation #RebuildingLife</x:v>
      </x:c>
      <x:c r="E132" s="29" t="str">
        <x:v>No first-person memoir</x:v>
      </x:c>
      <x:c r="F132" s="29" t="str">
        <x:v>c9f30b7555c3f3d3e3e77d64ee8e0cd79b27583acdc693a45eca86a3319d3fb6</x:v>
      </x:c>
    </x:row>
    <x:row r="133" ht="128" customHeight="1">
      <x:c r="A133" s="29" t="str">
        <x:v>BTB-132</x:v>
      </x:c>
      <x:c r="B133" s="62" t="n">
        <x:v>46454</x:v>
      </x:c>
      <x:c r="C133" s="64" t="str">
        <x:v>P2</x:v>
      </x:c>
      <x:c r="D133" s="29" t="str">
        <x:v>You do not need to wish anyone badly to stop using their life as your scoreboard. A difficult reaction is something to acknowledge, not an instruction to rush your own choices or manufacture a matching milestone.
#BrokenToBalanced #RebuildingLife #HonestConversations</x:v>
      </x:c>
      <x:c r="E133" s="29" t="str">
        <x:v>No first-person memoir</x:v>
      </x:c>
      <x:c r="F133" s="29" t="str">
        <x:v>b9db4521a63faa535a2e866f315692672c278b6f242960fa2c84a862ab854dd1</x:v>
      </x:c>
    </x:row>
    <x:row r="134" ht="128" customHeight="1">
      <x:c r="A134" s="29" t="str">
        <x:v>BTB-133</x:v>
      </x:c>
      <x:c r="B134" s="62" t="n">
        <x:v>46455</x:v>
      </x:c>
      <x:c r="C134" s="64" t="str">
        <x:v>P5</x:v>
      </x:c>
      <x:c r="D134" s="29" t="str">
        <x:v>The most reassuring advice is not always the most reliable. This is a prompt to check who is qualified to help with your actual question and circumstances. Appropriate support should make its limits clearer, not disappear them.
#BrokenToBalanced #StartingAgain #PracticalSteps</x:v>
      </x:c>
      <x:c r="E134" s="29" t="str">
        <x:v>No first-person memoir</x:v>
      </x:c>
      <x:c r="F134" s="29" t="str">
        <x:v>ae6b50188cd35fd09409ac027c9aad36c3ce0d1ef4c97f20e155444dc3555d71</x:v>
      </x:c>
    </x:row>
    <x:row r="135" ht="128" customHeight="1">
      <x:c r="A135" s="29" t="str">
        <x:v>BTB-134</x:v>
      </x:c>
      <x:c r="B135" s="62" t="n">
        <x:v>46456</x:v>
      </x:c>
      <x:c r="C135" s="64" t="str">
        <x:v>P6</x:v>
      </x:c>
      <x:c r="D135" s="29" t="str">
        <x:v>Hope should make room for reality. It should not require someone to promise a new life in thirty days or feel ashamed when an unresolved situation remains unresolved. That is the standard I want to keep here.
#BrokenToBalanced #StillBuilding #LifeAfterSeparation</x:v>
      </x:c>
      <x:c r="E135" s="29" t="str">
        <x:v>Required</x:v>
      </x:c>
      <x:c r="F135" s="29" t="str">
        <x:v>d9cd059c2ca7429d4a45e7c77d9209ed4ee5e6ff4347a3585f22a8f6fb3d711e</x:v>
      </x:c>
    </x:row>
    <x:row r="136" ht="128" customHeight="1">
      <x:c r="A136" s="29" t="str">
        <x:v>BTB-135</x:v>
      </x:c>
      <x:c r="B136" s="62" t="n">
        <x:v>46457</x:v>
      </x:c>
      <x:c r="C136" s="64" t="str">
        <x:v>P3</x:v>
      </x:c>
      <x:c r="D136" s="29" t="str">
        <x:v>Authenticity is not a requirement to disclose everything. Adults choose to publish; children may carry consequences they did not choose. This is an editorial boundary for this page and a question other parents can consider for themselves.
#BrokenToBalanced #Fatherhood #ParentingAfterSeparation</x:v>
      </x:c>
      <x:c r="E136" s="29" t="str">
        <x:v>No first-person memoir</x:v>
      </x:c>
      <x:c r="F136" s="29" t="str">
        <x:v>35d1d1db9161cab1e92092d5ac8a23ded8c0e1d54c5dfad4b8608450e7576346</x:v>
      </x:c>
    </x:row>
    <x:row r="137" ht="128" customHeight="1">
      <x:c r="A137" s="29" t="str">
        <x:v>BTB-136</x:v>
      </x:c>
      <x:c r="B137" s="62" t="n">
        <x:v>46458</x:v>
      </x:c>
      <x:c r="C137" s="64" t="str">
        <x:v>P4</x:v>
      </x:c>
      <x:c r="D137" s="29" t="str">
        <x:v>People can change, and a social post cannot determine whether a specific person has. The useful distinction is between potential and what you can currently observe. Hope deserves room without doing the work of evidence.
#BrokenToBalanced #Relationships #PersonalBoundaries</x:v>
      </x:c>
      <x:c r="E137" s="29" t="str">
        <x:v>No first-person memoir</x:v>
      </x:c>
      <x:c r="F137" s="29" t="str">
        <x:v>a54b2f3205888566232a21a2ccaf47d065fd5d342c5b16288950744fc024ff9b</x:v>
      </x:c>
    </x:row>
    <x:row r="138" ht="128" customHeight="1">
      <x:c r="A138" s="29" t="str">
        <x:v>BTB-137</x:v>
      </x:c>
      <x:c r="B138" s="62" t="n">
        <x:v>46459</x:v>
      </x:c>
      <x:c r="C138" s="64" t="str">
        <x:v>P5</x:v>
      </x:c>
      <x:c r="D138" s="29" t="str">
        <x:v>This is a practical suggestion rather than a moral rule about organised people. The aim is not a flawless morning. It is removing one repeated obstacle so that the day begins with one less avoidable decision.
#BrokenToBalanced #StartingAgain #PracticalSteps</x:v>
      </x:c>
      <x:c r="E138" s="29" t="str">
        <x:v>No first-person memoir</x:v>
      </x:c>
      <x:c r="F138" s="29" t="str">
        <x:v>134878861475aca8b3e4d54e4d146a98fe072c4ff3108916d54d6a63eda5e4e2</x:v>
      </x:c>
    </x:row>
    <x:row r="139" ht="128" customHeight="1">
      <x:c r="A139" s="29" t="str">
        <x:v>BTB-138</x:v>
      </x:c>
      <x:c r="B139" s="62" t="n">
        <x:v>46460</x:v>
      </x:c>
      <x:c r="C139" s="64" t="str">
        <x:v>P1</x:v>
      </x:c>
      <x:c r="D139" s="29" t="str">
        <x:v>There is a difference between possibility and prediction. This page can support the first without pretending to possess the second. A difficult present does not tell us everything about what becomes available later.
#BrokenToBalanced #LifeAfterSeparation #RebuildingLife</x:v>
      </x:c>
      <x:c r="E139" s="29" t="str">
        <x:v>No first-person memoir</x:v>
      </x:c>
      <x:c r="F139" s="29" t="str">
        <x:v>11f464236447075e9cc0ad5c7d3a7b4ab959ee01fe9b6ee5054449dab8ecde21</x:v>
      </x:c>
    </x:row>
    <x:row r="140" ht="128" customHeight="1">
      <x:c r="A140" s="29" t="str">
        <x:v>BTB-139</x:v>
      </x:c>
      <x:c r="B140" s="62" t="n">
        <x:v>46461</x:v>
      </x:c>
      <x:c r="C140" s="64" t="str">
        <x:v>P2</x:v>
      </x:c>
      <x:c r="D140" s="29" t="str">
        <x:v>You can ask for perspective while keeping responsibility for your own choices. A good conversation may clarify the trade-offs without producing an immediate answer. Not every uncertainty is a problem to be ended in one sitting.
#BrokenToBalanced #RebuildingLife #HonestConversations</x:v>
      </x:c>
      <x:c r="E140" s="29" t="str">
        <x:v>No first-person memoir</x:v>
      </x:c>
      <x:c r="F140" s="29" t="str">
        <x:v>3226b100d2fbab7251ebe39866e5c5ddf1ae16b4f1128b3a24f1f30ba23ae016</x:v>
      </x:c>
    </x:row>
    <x:row r="141" ht="128" customHeight="1">
      <x:c r="A141" s="29" t="str">
        <x:v>BTB-140</x:v>
      </x:c>
      <x:c r="B141" s="62" t="n">
        <x:v>46462</x:v>
      </x:c>
      <x:c r="C141" s="64" t="str">
        <x:v>P3</x:v>
      </x:c>
      <x:c r="D141" s="29" t="str">
        <x:v>This is a logistics checklist, not advice about who has authority to decide. Consider the child's needs, existing commitments, and the arrangements that apply. A workable plan supports the activity without making the child manage the negotiation.
#BrokenToBalanced #Fatherhood #ParentingAfterSeparation</x:v>
      </x:c>
      <x:c r="E141" s="29" t="str">
        <x:v>No first-person memoir</x:v>
      </x:c>
      <x:c r="F141" s="29" t="str">
        <x:v>5b9b198efd6bbcb10829ae7441b89d1f67a6bfaf8e1b420517e6c212c169f3bd</x:v>
      </x:c>
    </x:row>
    <x:row r="142" ht="128" customHeight="1">
      <x:c r="A142" s="29" t="str">
        <x:v>BTB-141</x:v>
      </x:c>
      <x:c r="B142" s="62" t="n">
        <x:v>46463</x:v>
      </x:c>
      <x:c r="C142" s="64" t="str">
        <x:v>P4</x:v>
      </x:c>
      <x:c r="D142" s="29" t="str">
        <x:v>Accepting help can be a choice, not a confession. You can welcome a kind gesture and remain clear about your limits. When support comes with pressure, control, or unclear expectations, it is reasonable to pause and seek perspective.
#BrokenToBalanced #Relationships #PersonalBoundaries</x:v>
      </x:c>
      <x:c r="E142" s="29" t="str">
        <x:v>No first-person memoir</x:v>
      </x:c>
      <x:c r="F142" s="29" t="str">
        <x:v>259cc6bc3330ffe898e9fcb8b048ac0bf3bb52b693ed70e049976d9a0a925697</x:v>
      </x:c>
    </x:row>
    <x:row r="143" ht="128" customHeight="1">
      <x:c r="A143" s="29" t="str">
        <x:v>BTB-142</x:v>
      </x:c>
      <x:c r="B143" s="62" t="n">
        <x:v>46464</x:v>
      </x:c>
      <x:c r="C143" s="64" t="str">
        <x:v>P5</x:v>
      </x:c>
      <x:c r="D143" s="29" t="str">
        <x:v>This is a reflection on decision-making, not a recommendation about a particular business or investment. The past effort deserves an honest account. It does not automatically decide whether the next hour or dollar belongs in the same place.
#BrokenToBalanced #StartingAgain #PracticalSteps</x:v>
      </x:c>
      <x:c r="E143" s="29" t="str">
        <x:v>No first-person memoir</x:v>
      </x:c>
      <x:c r="F143" s="29" t="str">
        <x:v>4f685cd177838a8d191e8ef365c6f8dd2fe719f715b71024f2c56575937fad3a</x:v>
      </x:c>
    </x:row>
    <x:row r="144" ht="128" customHeight="1">
      <x:c r="A144" s="29" t="str">
        <x:v>BTB-143</x:v>
      </x:c>
      <x:c r="B144" s="62" t="n">
        <x:v>46465</x:v>
      </x:c>
      <x:c r="C144" s="64" t="str">
        <x:v>P1</x:v>
      </x:c>
      <x:c r="D144" s="29" t="str">
        <x:v>Work and goals can matter deeply. They are still not substitutes for every kind of support or connection. This question is especially useful when the pressure attached to a goal becomes much larger than the goal itself.
#BrokenToBalanced #LifeAfterSeparation #RebuildingLife</x:v>
      </x:c>
      <x:c r="E144" s="29" t="str">
        <x:v>No first-person memoir</x:v>
      </x:c>
      <x:c r="F144" s="29" t="str">
        <x:v>496a1743c9be7e4fc8f3524b691bece579492a9ad7d7677afe19855b3a704fbd</x:v>
      </x:c>
    </x:row>
    <x:row r="145" ht="128" customHeight="1">
      <x:c r="A145" s="29" t="str">
        <x:v>BTB-144</x:v>
      </x:c>
      <x:c r="B145" s="62" t="n">
        <x:v>46466</x:v>
      </x:c>
      <x:c r="C145" s="64" t="str">
        <x:v>P2</x:v>
      </x:c>
      <x:c r="D145" s="29" t="str">
        <x:v>Not every hour can be leisure, and some seasons leave little room. A small interest can still be worth considering on its own terms. You are allowed to enjoy something without asking whether it could become a business.
#BrokenToBalanced #RebuildingLife #HonestConversations</x:v>
      </x:c>
      <x:c r="E145" s="29" t="str">
        <x:v>No first-person memoir</x:v>
      </x:c>
      <x:c r="F145" s="29" t="str">
        <x:v>480a7336542c022e57f93d591095767b14dae2ecc29cac27c05808a343b4e328</x:v>
      </x:c>
    </x:row>
    <x:row r="146" ht="128" customHeight="1">
      <x:c r="A146" s="29" t="str">
        <x:v>BTB-145</x:v>
      </x:c>
      <x:c r="B146" s="62" t="n">
        <x:v>46467</x:v>
      </x:c>
      <x:c r="C146" s="64" t="str">
        <x:v>P3</x:v>
      </x:c>
      <x:c r="D146" s="29" t="str">
        <x:v>This is not a criticism of devoted parenting or a claim that creating support is easy. It is an invitation to keep adult emotional needs in adult relationships and services, rather than asking a child to fill every empty space.
#BrokenToBalanced #Fatherhood #ParentingAfterSeparation</x:v>
      </x:c>
      <x:c r="E146" s="29" t="str">
        <x:v>No first-person memoir</x:v>
      </x:c>
      <x:c r="F146" s="29" t="str">
        <x:v>2090deb6b76aeb5fdd168553600149f2699cdc345c92c2211306ff5c99186bac</x:v>
      </x:c>
    </x:row>
    <x:row r="147" ht="128" customHeight="1">
      <x:c r="A147" s="29" t="str">
        <x:v>BTB-146</x:v>
      </x:c>
      <x:c r="B147" s="62" t="n">
        <x:v>46468</x:v>
      </x:c>
      <x:c r="C147" s="64" t="str">
        <x:v>P4</x:v>
      </x:c>
      <x:c r="D147" s="29" t="str">
        <x:v>Moving slowly is not automatically healthier, and moving quickly is not automatically wrong. The important questions are consent, clarity, capacity, and whether both people can express limits without being punished for them.
#BrokenToBalanced #Relationships #PersonalBoundaries</x:v>
      </x:c>
      <x:c r="E147" s="29" t="str">
        <x:v>No first-person memoir</x:v>
      </x:c>
      <x:c r="F147" s="29" t="str">
        <x:v>1c360b5c5b4576b023267830d44a518a42e05179cc3244df21171313d8bf3ba3</x:v>
      </x:c>
    </x:row>
    <x:row r="148" ht="128" customHeight="1">
      <x:c r="A148" s="29" t="str">
        <x:v>BTB-147</x:v>
      </x:c>
      <x:c r="B148" s="62" t="n">
        <x:v>46469</x:v>
      </x:c>
      <x:c r="C148" s="64" t="str">
        <x:v>P5</x:v>
      </x:c>
      <x:c r="D148" s="29" t="str">
        <x:v>Practical support becomes easier to discuss when the task has a shape. This is not a guarantee that someone can help. It gives them a clearer choice and gives you a more specific next option to consider.
#BrokenToBalanced #StartingAgain #PracticalSteps</x:v>
      </x:c>
      <x:c r="E148" s="29" t="str">
        <x:v>No first-person memoir</x:v>
      </x:c>
      <x:c r="F148" s="29" t="str">
        <x:v>02fc792a372aac4283d7c084a7617698c6b661581e290e38df1fcde4534a753d</x:v>
      </x:c>
    </x:row>
    <x:row r="149" ht="128" customHeight="1">
      <x:c r="A149" s="29" t="str">
        <x:v>BTB-148</x:v>
      </x:c>
      <x:c r="B149" s="62" t="n">
        <x:v>46470</x:v>
      </x:c>
      <x:c r="C149" s="64" t="str">
        <x:v>P1</x:v>
      </x:c>
      <x:c r="D149" s="29" t="str">
        <x:v>An announcement can be useful, but it is not what makes a choice real. Some changes benefit from privacy while they take shape. You are allowed to build before explaining what you are building.
#BrokenToBalanced #LifeAfterSeparation #RebuildingLife</x:v>
      </x:c>
      <x:c r="E149" s="29" t="str">
        <x:v>No first-person memoir</x:v>
      </x:c>
      <x:c r="F149" s="29" t="str">
        <x:v>1cc837e9b7f7f039566ba53a4279515431c5e1592b2abc29cc643296ee71b9f0</x:v>
      </x:c>
    </x:row>
    <x:row r="150" ht="128" customHeight="1">
      <x:c r="A150" s="29" t="str">
        <x:v>BTB-149</x:v>
      </x:c>
      <x:c r="B150" s="62" t="n">
        <x:v>46471</x:v>
      </x:c>
      <x:c r="C150" s="64" t="str">
        <x:v>P2</x:v>
      </x:c>
      <x:c r="D150" s="29" t="str">
        <x:v>This is a reflection on a possibility, not a prediction that every anniversary will be difficult. You can plan gently around a significant date without deciding in advance that it must be painful or that you must celebrate having moved on.
#BrokenToBalanced #RebuildingLife #HonestConversations</x:v>
      </x:c>
      <x:c r="E150" s="29" t="str">
        <x:v>No first-person memoir</x:v>
      </x:c>
      <x:c r="F150" s="29" t="str">
        <x:v>6b6792ffd1ca2e956cd7d1d8eda51f67fb90ecd7334be36f140c28aaa0b37cca</x:v>
      </x:c>
    </x:row>
    <x:row r="151" ht="128" customHeight="1">
      <x:c r="A151" s="29" t="str">
        <x:v>BTB-150</x:v>
      </x:c>
      <x:c r="B151" s="62" t="n">
        <x:v>46472</x:v>
      </x:c>
      <x:c r="C151" s="64" t="str">
        <x:v>P6</x:v>
      </x:c>
      <x:c r="D151" s="29" t="str">
        <x:v>Broken to Balanced is a direction, not a certificate of recovery. The content should remain useful to someone who is still in the middle, not only to someone ready to tell a polished story about the past.
#BrokenToBalanced #StillBuilding #LifeAfterSeparation</x:v>
      </x:c>
      <x:c r="E151" s="29" t="str">
        <x:v>Required</x:v>
      </x:c>
      <x:c r="F151" s="29" t="str">
        <x:v>11825abb44c031e669836c97a0f2157c3261b5b929c0e06c785f70f689519c9e</x:v>
      </x:c>
    </x:row>
    <x:row r="152" ht="128" customHeight="1">
      <x:c r="A152" s="29" t="str">
        <x:v>BTB-151</x:v>
      </x:c>
      <x:c r="B152" s="62" t="n">
        <x:v>46473</x:v>
      </x:c>
      <x:c r="C152" s="64" t="str">
        <x:v>P1</x:v>
      </x:c>
      <x:c r="D152" s="29" t="str">
        <x:v>This is not a call to ignore consequences or deadlines. It is a distinction between the part of life that depends on an answer and the parts that may still have room to move. Both deserve an honest assessment.
#BrokenToBalanced #LifeAfterSeparation #RebuildingLife</x:v>
      </x:c>
      <x:c r="E152" s="29" t="str">
        <x:v>No first-person memoir</x:v>
      </x:c>
      <x:c r="F152" s="29" t="str">
        <x:v>7aec0e34a1f34443cbc60f5610ff928c3dcf536d0928539be32c03a2d929879e</x:v>
      </x:c>
    </x:row>
    <x:row r="153" ht="128" customHeight="1">
      <x:c r="A153" s="29" t="str">
        <x:v>BTB-152</x:v>
      </x:c>
      <x:c r="B153" s="62" t="n">
        <x:v>46474</x:v>
      </x:c>
      <x:c r="C153" s="64" t="str">
        <x:v>P2</x:v>
      </x:c>
      <x:c r="D153" s="29" t="str">
        <x:v>Some messages need immediate action, especially where safety or formal deadlines are involved. Others need a considered response. The first task is to distinguish between them, not to obey the feeling that everything must be solved at once.
#BrokenToBalanced #RebuildingLife #HonestConversations</x:v>
      </x:c>
      <x:c r="E153" s="29" t="str">
        <x:v>No first-person memoir</x:v>
      </x:c>
      <x:c r="F153" s="29" t="str">
        <x:v>03ef2c56aa6387c7535ab3bdcda1d939568a3179c6fcc8ef8461a0f2ce3394fc</x:v>
      </x:c>
    </x:row>
    <x:row r="154" ht="128" customHeight="1">
      <x:c r="A154" s="29" t="str">
        <x:v>BTB-153</x:v>
      </x:c>
      <x:c r="B154" s="62" t="n">
        <x:v>46475</x:v>
      </x:c>
      <x:c r="C154" s="64" t="str">
        <x:v>P3</x:v>
      </x:c>
      <x:c r="D154" s="29" t="str">
        <x:v>This is a suggested routine, not an account of a particular handover or a claim that every parent feels the same. Your own transition matters. Giving it an adult place in the plan can protect the child from carrying it for you.
#BrokenToBalanced #Fatherhood #ParentingAfterSeparation</x:v>
      </x:c>
      <x:c r="E154" s="29" t="str">
        <x:v>No first-person memoir</x:v>
      </x:c>
      <x:c r="F154" s="29" t="str">
        <x:v>929f07920c5558a8c8f4e46922c34eaf0b890fe3afc40e4929577ace0edf543a</x:v>
      </x:c>
    </x:row>
    <x:row r="155" ht="128" customHeight="1">
      <x:c r="A155" s="29" t="str">
        <x:v>BTB-154</x:v>
      </x:c>
      <x:c r="B155" s="62" t="n">
        <x:v>46476</x:v>
      </x:c>
      <x:c r="C155" s="64" t="str">
        <x:v>P4</x:v>
      </x:c>
      <x:c r="D155" s="29" t="str">
        <x:v>No one has perfect foresight. A more realistic aim is a decision process you can explain honestly. That includes changing your mind when the information warrants it, rather than defending a choice solely because it was yours.
#BrokenToBalanced #Relationships #PersonalBoundaries</x:v>
      </x:c>
      <x:c r="E155" s="29" t="str">
        <x:v>No first-person memoir</x:v>
      </x:c>
      <x:c r="F155" s="29" t="str">
        <x:v>7e7ee3a497c8194e4cefb186c54c5343433ded19a2885922f67a226e597a7f99</x:v>
      </x:c>
    </x:row>
    <x:row r="156" ht="128" customHeight="1">
      <x:c r="A156" s="29" t="str">
        <x:v>BTB-155</x:v>
      </x:c>
      <x:c r="B156" s="62" t="n">
        <x:v>46477</x:v>
      </x:c>
      <x:c r="C156" s="64" t="str">
        <x:v>P5</x:v>
      </x:c>
      <x:c r="D156" s="29" t="str">
        <x:v>A review should help the next week, not produce a case against the last one. You can be honest about missed commitments while also considering capacity, changed circumstances, and whether the original plan was realistic.
#BrokenToBalanced #StartingAgain #PracticalSteps</x:v>
      </x:c>
      <x:c r="E156" s="29" t="str">
        <x:v>No first-person memoir</x:v>
      </x:c>
      <x:c r="F156" s="29" t="str">
        <x:v>bbd91f827e96952b1c06b4ae3a141d3fc7dc57d37c4427ce2c4ba82b11ffc9f1</x:v>
      </x:c>
    </x:row>
    <x:row r="157" ht="128" customHeight="1">
      <x:c r="A157" s="29" t="str">
        <x:v>BTB-156</x:v>
      </x:c>
      <x:c r="B157" s="62" t="n">
        <x:v>46478</x:v>
      </x:c>
      <x:c r="C157" s="64" t="str">
        <x:v>P1</x:v>
      </x:c>
      <x:c r="D157" s="29" t="str">
        <x:v>This is not a command to push through every hesitation. Some hesitation contains important information. The question is whether a modest, appropriate experiment could teach you something without requiring you to decide the whole future.
#BrokenToBalanced #LifeAfterSeparation #RebuildingLife</x:v>
      </x:c>
      <x:c r="E157" s="29" t="str">
        <x:v>No first-person memoir</x:v>
      </x:c>
      <x:c r="F157" s="29" t="str">
        <x:v>1c3a9f166ede4e78dd4390b290ac9d3ae1d57da20c94de2e019dd24855fa90ca</x:v>
      </x:c>
    </x:row>
    <x:row r="158" ht="128" customHeight="1">
      <x:c r="A158" s="29" t="str">
        <x:v>BTB-157</x:v>
      </x:c>
      <x:c r="B158" s="62" t="n">
        <x:v>46479</x:v>
      </x:c>
      <x:c r="C158" s="64" t="str">
        <x:v>P2</x:v>
      </x:c>
      <x:c r="D158" s="29" t="str">
        <x:v>It is possible to be good at what you do and still need a different workload or more support. This reflection asks whether the demand is reasonable before concluding that the person carrying it is inadequate.
#BrokenToBalanced #RebuildingLife #HonestConversations</x:v>
      </x:c>
      <x:c r="E158" s="29" t="str">
        <x:v>No first-person memoir</x:v>
      </x:c>
      <x:c r="F158" s="29" t="str">
        <x:v>18a1e2c1f524e619534e1a6177321b61a79eaea8c1f5d655c8435b3b1992f18a</x:v>
      </x:c>
    </x:row>
    <x:row r="159" ht="128" customHeight="1">
      <x:c r="A159" s="29" t="str">
        <x:v>BTB-158</x:v>
      </x:c>
      <x:c r="B159" s="62" t="n">
        <x:v>46480</x:v>
      </x:c>
      <x:c r="C159" s="64" t="str">
        <x:v>P5</x:v>
      </x:c>
      <x:c r="D159" s="29" t="str">
        <x:v>This is a small workflow tool for unfinished administration or work. It does not make the task disappear. It gives the next attempt a clearer starting point and lets the current stopping point be deliberate.
#BrokenToBalanced #StartingAgain #PracticalSteps</x:v>
      </x:c>
      <x:c r="E159" s="29" t="str">
        <x:v>No first-person memoir</x:v>
      </x:c>
      <x:c r="F159" s="29" t="str">
        <x:v>d4c91896ee2262f02b3e4fa34f0434374b08dda257727e2d40b776905520d3d9</x:v>
      </x:c>
    </x:row>
    <x:row r="160" ht="128" customHeight="1">
      <x:c r="A160" s="29" t="str">
        <x:v>BTB-159</x:v>
      </x:c>
      <x:c r="B160" s="62" t="n">
        <x:v>46481</x:v>
      </x:c>
      <x:c r="C160" s="64" t="str">
        <x:v>P3</x:v>
      </x:c>
      <x:c r="D160" s="29" t="str">
        <x:v>This is not a denial of what parenting costs. It is a boundary about where the need for recognition belongs. Support from trusted adults or professionals is different from asking a child to make your sacrifices feel worthwhile.
#BrokenToBalanced #Fatherhood #ParentingAfterSeparation</x:v>
      </x:c>
      <x:c r="E160" s="29" t="str">
        <x:v>No first-person memoir</x:v>
      </x:c>
      <x:c r="F160" s="29" t="str">
        <x:v>3de88b42f95523b4e18dc51bb50c860ca1f07a17bf00455b3979cb3434e59d8c</x:v>
      </x:c>
    </x:row>
    <x:row r="161" ht="128" customHeight="1">
      <x:c r="A161" s="29" t="str">
        <x:v>BTB-160</x:v>
      </x:c>
      <x:c r="B161" s="62" t="n">
        <x:v>46482</x:v>
      </x:c>
      <x:c r="C161" s="64" t="str">
        <x:v>P4</x:v>
      </x:c>
      <x:c r="D161" s="29" t="str">
        <x:v>Nobody needs to fit perfectly into another person's schedule without adjustment. The question is whether there is a mutually workable arrangement and room to discuss limits. A real relationship needs room for the life that already exists.
#BrokenToBalanced #Relationships #PersonalBoundaries</x:v>
      </x:c>
      <x:c r="E161" s="29" t="str">
        <x:v>No first-person memoir</x:v>
      </x:c>
      <x:c r="F161" s="29" t="str">
        <x:v>195efb55876b2849406865c8936ea66b9d440e14157a4d8798a2652f81ffc1ac</x:v>
      </x:c>
    </x:row>
    <x:row r="162" ht="128" customHeight="1">
      <x:c r="A162" s="29" t="str">
        <x:v>BTB-161</x:v>
      </x:c>
      <x:c r="B162" s="62" t="n">
        <x:v>46483</x:v>
      </x:c>
      <x:c r="C162" s="64" t="str">
        <x:v>P1</x:v>
      </x:c>
      <x:c r="D162" s="29" t="str">
        <x:v>Perspective can be useful without becoming a competition over who has more reason to struggle. You do not have to deny what is good to acknowledge what hurts. An honest account can hold both.
#BrokenToBalanced #LifeAfterSeparation #RebuildingLife</x:v>
      </x:c>
      <x:c r="E162" s="29" t="str">
        <x:v>No first-person memoir</x:v>
      </x:c>
      <x:c r="F162" s="29" t="str">
        <x:v>05141cdd818014feacd1f5fde912e705177724202c0674a0554f3cfaf5d0ff17</x:v>
      </x:c>
    </x:row>
    <x:row r="163" ht="128" customHeight="1">
      <x:c r="A163" s="29" t="str">
        <x:v>BTB-162</x:v>
      </x:c>
      <x:c r="B163" s="62" t="n">
        <x:v>46484</x:v>
      </x:c>
      <x:c r="C163" s="64" t="str">
        <x:v>P2</x:v>
      </x:c>
      <x:c r="D163" s="29" t="str">
        <x:v>The person may be trying to acknowledge your effort. You can receive that intention and add the missing information. Being seen as capable should not make your requests for support disappear.
#BrokenToBalanced #RebuildingLife #HonestConversations</x:v>
      </x:c>
      <x:c r="E163" s="29" t="str">
        <x:v>No first-person memoir</x:v>
      </x:c>
      <x:c r="F163" s="29" t="str">
        <x:v>8d88bf7c715c84b0e55c7a20e41deccc66c12a4d805332a1493f2659157fa876</x:v>
      </x:c>
    </x:row>
    <x:row r="164" ht="128" customHeight="1">
      <x:c r="A164" s="29" t="str">
        <x:v>BTB-163</x:v>
      </x:c>
      <x:c r="B164" s="62" t="n">
        <x:v>46485</x:v>
      </x:c>
      <x:c r="C164" s="64" t="str">
        <x:v>P5</x:v>
      </x:c>
      <x:c r="D164" s="29" t="str">
        <x:v>Spending on support can be worthwhile. That does not make every offer suitable or every confident claim reliable. A clear problem statement helps you evaluate whether the service matches your need instead of only your hope for relief.
#BrokenToBalanced #StartingAgain #PracticalSteps</x:v>
      </x:c>
      <x:c r="E164" s="29" t="str">
        <x:v>No first-person memoir</x:v>
      </x:c>
      <x:c r="F164" s="29" t="str">
        <x:v>f103cf33af6efb69c21b0b1f13205041d9bfa5b5445092fec6c3c4d0a3784268</x:v>
      </x:c>
    </x:row>
    <x:row r="165" ht="128" customHeight="1">
      <x:c r="A165" s="29" t="str">
        <x:v>BTB-164</x:v>
      </x:c>
      <x:c r="B165" s="62" t="n">
        <x:v>46486</x:v>
      </x:c>
      <x:c r="C165" s="64" t="str">
        <x:v>P6</x:v>
      </x:c>
      <x:c r="D165" s="29" t="str">
        <x:v>A useful content library is not a treatment programme. You do not need to complete it in order or prove that it changed you. Take what is relevant, consider it in your circumstances, and use qualified support where the situation calls for it.
#BrokenToBalanced #StillBuilding #LifeAfterSeparation</x:v>
      </x:c>
      <x:c r="E165" s="29" t="str">
        <x:v>Required</x:v>
      </x:c>
      <x:c r="F165" s="29" t="str">
        <x:v>e70529c141d6206437f5a6bdc8e007af8c7703abb1e7c1a2b662f144c48680d1</x:v>
      </x:c>
    </x:row>
    <x:row r="166" ht="128" customHeight="1">
      <x:c r="A166" s="29" t="str">
        <x:v>BTB-165</x:v>
      </x:c>
      <x:c r="B166" s="62" t="n">
        <x:v>46487</x:v>
      </x:c>
      <x:c r="C166" s="64" t="str">
        <x:v>P3</x:v>
      </x:c>
      <x:c r="D166" s="29" t="str">
        <x:v>A child can need support without becoming a topic for everyone in the room. The distinction is between appropriate information-sharing and public curiosity. You can keep that boundary without offering a detailed explanation for it.
#BrokenToBalanced #Fatherhood #ParentingAfterSeparation</x:v>
      </x:c>
      <x:c r="E166" s="29" t="str">
        <x:v>No first-person memoir</x:v>
      </x:c>
      <x:c r="F166" s="29" t="str">
        <x:v>f0be02ce529ec4490c3cc1895f084f5dcc3064539f81e02269113d9ad2a5aecb</x:v>
      </x:c>
    </x:row>
    <x:row r="167" ht="128" customHeight="1">
      <x:c r="A167" s="29" t="str">
        <x:v>BTB-166</x:v>
      </x:c>
      <x:c r="B167" s="62" t="n">
        <x:v>46488</x:v>
      </x:c>
      <x:c r="C167" s="64" t="str">
        <x:v>P4</x:v>
      </x:c>
      <x:c r="D167" s="29" t="str">
        <x:v>Changing a boundary can require a conversation, not merely an announcement. There may be commitments you cannot unilaterally change. The useful step is to name the problem honestly and use an appropriate route to address it.
#BrokenToBalanced #Relationships #PersonalBoundaries</x:v>
      </x:c>
      <x:c r="E167" s="29" t="str">
        <x:v>No first-person memoir</x:v>
      </x:c>
      <x:c r="F167" s="29" t="str">
        <x:v>69c0cdb47cf2d9f4b533af85e5fe0be510951d24f53e7c6b9b4bac202668ee77</x:v>
      </x:c>
    </x:row>
    <x:row r="168" ht="128" customHeight="1">
      <x:c r="A168" s="29" t="str">
        <x:v>BTB-167</x:v>
      </x:c>
      <x:c r="B168" s="62" t="n">
        <x:v>46489</x:v>
      </x:c>
      <x:c r="C168" s="64" t="str">
        <x:v>P5</x:v>
      </x:c>
      <x:c r="D168" s="29" t="str">
        <x:v>Two possible next steps cannot remove disappointment or make an outcome predictable. They can help distinguish “I don't know what will happen” from “I have no way to respond.” Those are different situations.
#BrokenToBalanced #StartingAgain #PracticalSteps</x:v>
      </x:c>
      <x:c r="E168" s="29" t="str">
        <x:v>No first-person memoir</x:v>
      </x:c>
      <x:c r="F168" s="29" t="str">
        <x:v>7facb9a5978b1daa8019bcb6186807734ecb6437440b1413b203f3a2013ac5b9</x:v>
      </x:c>
    </x:row>
    <x:row r="169" ht="128" customHeight="1">
      <x:c r="A169" s="29" t="str">
        <x:v>BTB-168</x:v>
      </x:c>
      <x:c r="B169" s="62" t="n">
        <x:v>46490</x:v>
      </x:c>
      <x:c r="C169" s="64" t="str">
        <x:v>P1</x:v>
      </x:c>
      <x:c r="D169" s="29" t="str">
        <x:v>Identity does not need to change on command. This is an invitation to notice which descriptions you want to make room for alongside the painful ones. You can keep the truth of the experience without letting it occupy every introduction.
#BrokenToBalanced #LifeAfterSeparation #RebuildingLife</x:v>
      </x:c>
      <x:c r="E169" s="29" t="str">
        <x:v>No first-person memoir</x:v>
      </x:c>
      <x:c r="F169" s="29" t="str">
        <x:v>1a075bea430f7bd96523562a9d50e00937d79bfce7667e6481b9dcc8ed182faa</x:v>
      </x:c>
    </x:row>
    <x:row r="170" ht="128" customHeight="1">
      <x:c r="A170" s="29" t="str">
        <x:v>BTB-169</x:v>
      </x:c>
      <x:c r="B170" s="62" t="n">
        <x:v>46491</x:v>
      </x:c>
      <x:c r="C170" s="64" t="str">
        <x:v>P2</x:v>
      </x:c>
      <x:c r="D170" s="29" t="str">
        <x:v>This is not a promise that nothing will go wrong. It is permission to distinguish a present concern from an imagined future one. Enjoyment does not require you to prove that the rest of life is secure first.
#BrokenToBalanced #RebuildingLife #HonestConversations</x:v>
      </x:c>
      <x:c r="E170" s="29" t="str">
        <x:v>No first-person memoir</x:v>
      </x:c>
      <x:c r="F170" s="29" t="str">
        <x:v>9cc85c521e7907ba29f3d57424a8752ffa972cdbde244e5a94a0f0e53deda7e1</x:v>
      </x:c>
    </x:row>
    <x:row r="171" ht="128" customHeight="1">
      <x:c r="A171" s="29" t="str">
        <x:v>BTB-170</x:v>
      </x:c>
      <x:c r="B171" s="62" t="n">
        <x:v>46492</x:v>
      </x:c>
      <x:c r="C171" s="64" t="str">
        <x:v>P3</x:v>
      </x:c>
      <x:c r="D171" s="29" t="str">
        <x:v>Children can ask questions adults cannot immediately answer. A measured response can acknowledge that without making the child feel responsible for solving it. The task is truthful, age-appropriate communication—not a performance of knowing everything.
#BrokenToBalanced #Fatherhood #ParentingAfterSeparation</x:v>
      </x:c>
      <x:c r="E171" s="29" t="str">
        <x:v>No first-person memoir</x:v>
      </x:c>
      <x:c r="F171" s="29" t="str">
        <x:v>aa547bee505ba1e252a94d9743f284d9b86f06bec6f62429f6574f0b85905225</x:v>
      </x:c>
    </x:row>
    <x:row r="172" ht="128" customHeight="1">
      <x:c r="A172" s="29" t="str">
        <x:v>BTB-171</x:v>
      </x:c>
      <x:c r="B172" s="62" t="n">
        <x:v>46493</x:v>
      </x:c>
      <x:c r="C172" s="64" t="str">
        <x:v>P4</x:v>
      </x:c>
      <x:c r="D172" s="29" t="str">
        <x:v>People choose different levels of interdependence. The important questions are whether those choices are mutual, safe, and open to discussion. A relationship should not make it impossible to ask what the rest of your life needs.
#BrokenToBalanced #Relationships #PersonalBoundaries</x:v>
      </x:c>
      <x:c r="E172" s="29" t="str">
        <x:v>No first-person memoir</x:v>
      </x:c>
      <x:c r="F172" s="29" t="str">
        <x:v>d195efb7e2704ec0b2e85b9269ec8c9be960a15073043b1bb31b375438ad1c7d</x:v>
      </x:c>
    </x:row>
    <x:row r="173" ht="128" customHeight="1">
      <x:c r="A173" s="29" t="str">
        <x:v>BTB-172</x:v>
      </x:c>
      <x:c r="B173" s="62" t="n">
        <x:v>46494</x:v>
      </x:c>
      <x:c r="C173" s="64" t="str">
        <x:v>P5</x:v>
      </x:c>
      <x:c r="D173" s="29" t="str">
        <x:v>Consistency can be valuable. So can an honest review. The purpose is not to abandon a difficult goal whenever motivation dips; it is to check whether the goal still fits the values and circumstances it is supposed to serve.
#BrokenToBalanced #StartingAgain #PracticalSteps</x:v>
      </x:c>
      <x:c r="E173" s="29" t="str">
        <x:v>No first-person memoir</x:v>
      </x:c>
      <x:c r="F173" s="29" t="str">
        <x:v>9a4478776bc41de90d6e489c8206890e8a79677ea31c97dcf9b43337ae984788</x:v>
      </x:c>
    </x:row>
    <x:row r="174" ht="128" customHeight="1">
      <x:c r="A174" s="29" t="str">
        <x:v>BTB-173</x:v>
      </x:c>
      <x:c r="B174" s="62" t="n">
        <x:v>46495</x:v>
      </x:c>
      <x:c r="C174" s="64" t="str">
        <x:v>P1</x:v>
      </x:c>
      <x:c r="D174" s="29" t="str">
        <x:v>This is not a claim about your particular case or a promise that it will end well. It is a reminder to assess different parts of life separately. One unresolved issue can be significant without becoming the sole measure of every effort.
#BrokenToBalanced #LifeAfterSeparation #RebuildingLife</x:v>
      </x:c>
      <x:c r="E174" s="29" t="str">
        <x:v>No first-person memoir</x:v>
      </x:c>
      <x:c r="F174" s="29" t="str">
        <x:v>b34a30346f05655c26f6ec821cbef65cc7697a56a713bf07e1bafbc2e0f0cf60</x:v>
      </x:c>
    </x:row>
    <x:row r="175" ht="128" customHeight="1">
      <x:c r="A175" s="29" t="str">
        <x:v>BTB-174</x:v>
      </x:c>
      <x:c r="B175" s="62" t="n">
        <x:v>46496</x:v>
      </x:c>
      <x:c r="C175" s="64" t="str">
        <x:v>P2</x:v>
      </x:c>
      <x:c r="D175" s="29" t="str">
        <x:v>This is an optional self-check, not a label for your thoughts. Some questions take time. The useful distinction is whether the current approach is helping or whether you need a different kind of support to continue.
#BrokenToBalanced #RebuildingLife #HonestConversations</x:v>
      </x:c>
      <x:c r="E175" s="29" t="str">
        <x:v>No first-person memoir</x:v>
      </x:c>
      <x:c r="F175" s="29" t="str">
        <x:v>afc69e0e55a63a17eaafb7ba038886a0f672f8a866b0edeaaea3ed501a30707d</x:v>
      </x:c>
    </x:row>
    <x:row r="176" ht="128" customHeight="1">
      <x:c r="A176" s="29" t="str">
        <x:v>BTB-175</x:v>
      </x:c>
      <x:c r="B176" s="62" t="n">
        <x:v>46497</x:v>
      </x:c>
      <x:c r="C176" s="64" t="str">
        <x:v>P3</x:v>
      </x:c>
      <x:c r="D176" s="29" t="str">
        <x:v>A friend or relative may think they are being loyal. You can still set a boundary around where that conversation happens. The child's presence should change the conversation, not become an audience for it.
#BrokenToBalanced #Fatherhood #ParentingAfterSeparation</x:v>
      </x:c>
      <x:c r="E176" s="29" t="str">
        <x:v>No first-person memoir</x:v>
      </x:c>
      <x:c r="F176" s="29" t="str">
        <x:v>d59e96e93be878dddb02c1b4674656e55d274de880f16396c5a1a2edf8f75169</x:v>
      </x:c>
    </x:row>
    <x:row r="177" ht="128" customHeight="1">
      <x:c r="A177" s="29" t="str">
        <x:v>BTB-176</x:v>
      </x:c>
      <x:c r="B177" s="62" t="n">
        <x:v>46498</x:v>
      </x:c>
      <x:c r="C177" s="64" t="str">
        <x:v>P4</x:v>
      </x:c>
      <x:c r="D177" s="29" t="str">
        <x:v>This distinction matters in both directions. Not every uncomfortable action is good for you, and not every familiar action is bad. Use information, values, consequences, and appropriate support rather than a single sensation as the whole test.
#BrokenToBalanced #Relationships #PersonalBoundaries</x:v>
      </x:c>
      <x:c r="E177" s="29" t="str">
        <x:v>No first-person memoir</x:v>
      </x:c>
      <x:c r="F177" s="29" t="str">
        <x:v>b6b473265ec5241d87575dd1a3491293e662c1672a98e19aa2bea28c24c9a3ee</x:v>
      </x:c>
    </x:row>
    <x:row r="178" ht="128" customHeight="1">
      <x:c r="A178" s="29" t="str">
        <x:v>BTB-177</x:v>
      </x:c>
      <x:c r="B178" s="62" t="n">
        <x:v>46499</x:v>
      </x:c>
      <x:c r="C178" s="64" t="str">
        <x:v>P5</x:v>
      </x:c>
      <x:c r="D178" s="29" t="str">
        <x:v>Public milestones are easy to count. A life that works better can involve changes that are harder to display. This reflection is about choosing useful measures, not lowering your ambitions or declaring the work complete.
#BrokenToBalanced #StartingAgain #PracticalSteps</x:v>
      </x:c>
      <x:c r="E178" s="29" t="str">
        <x:v>No first-person memoir</x:v>
      </x:c>
      <x:c r="F178" s="29" t="str">
        <x:v>bd67ac414ee3cc44eb9d081807b17f81cb1142e76898b5ab480e379f8e7d9011</x:v>
      </x:c>
    </x:row>
    <x:row r="179" ht="128" customHeight="1">
      <x:c r="A179" s="29" t="str">
        <x:v>BTB-178</x:v>
      </x:c>
      <x:c r="B179" s="62" t="n">
        <x:v>46500</x:v>
      </x:c>
      <x:c r="C179" s="64" t="str">
        <x:v>P1</x:v>
      </x:c>
      <x:c r="D179" s="29" t="str">
        <x:v>This is not a rule about whether to reconnect with someone. It is permission to have a memory without immediately turning it into a plan. Important experiences can remain important while your life continues to change.
#BrokenToBalanced #LifeAfterSeparation #RebuildingLife</x:v>
      </x:c>
      <x:c r="E179" s="29" t="str">
        <x:v>No first-person memoir</x:v>
      </x:c>
      <x:c r="F179" s="29" t="str">
        <x:v>3ea259bfed40aef0b181a7b28a46bdfba0def90fbae3d1b55b8c0d925826e9f9</x:v>
      </x:c>
    </x:row>
    <x:row r="180" ht="128" customHeight="1">
      <x:c r="A180" s="29" t="str">
        <x:v>BTB-179</x:v>
      </x:c>
      <x:c r="B180" s="62" t="n">
        <x:v>46501</x:v>
      </x:c>
      <x:c r="C180" s="64" t="str">
        <x:v>P2</x:v>
      </x:c>
      <x:c r="D180" s="29" t="str">
        <x:v>Shared experience can make connection possible without making you responsible for every outcome. Support can include listening, practical help, and encouragement to seek qualified care. It should not require you to become someone's only source of help.
#BrokenToBalanced #RebuildingLife #HonestConversations</x:v>
      </x:c>
      <x:c r="E180" s="29" t="str">
        <x:v>No first-person memoir</x:v>
      </x:c>
      <x:c r="F180" s="29" t="str">
        <x:v>f7a148b8bbacf4c5262d31c0e233f74cdc392ac870bfc57a9e34072229fa4757</x:v>
      </x:c>
    </x:row>
    <x:row r="181" ht="128" customHeight="1">
      <x:c r="A181" s="29" t="str">
        <x:v>BTB-180</x:v>
      </x:c>
      <x:c r="B181" s="62" t="n">
        <x:v>46502</x:v>
      </x:c>
      <x:c r="C181" s="64" t="str">
        <x:v>P6</x:v>
      </x:c>
      <x:c r="D181" s="29" t="str">
        <x:v>You do not need to have read every post to belong in this conversation. Start with the part that is relevant to your life now. The aim is not endless content about being hurt; it is language and perspective that help make the rest of life possible.
#BrokenToBalanced #StillBuilding #LifeAfterSeparation</x:v>
      </x:c>
      <x:c r="E181" s="29" t="str">
        <x:v>Required</x:v>
      </x:c>
      <x:c r="F181" s="29" t="str">
        <x:v>30f441a918557bf5acad3fb6dc0e584a024f401d1c1c64fe76dc7ce5c5bbef80</x:v>
      </x:c>
    </x:row>
  </x:sheetData>
  <x:pageMargins left="0.7" right="0.7" top="0.75" bottom="0.75" header="0.3" footer="0.3"/>
  <x:tableParts count="1">
    <x:tablePart xmlns:r="http://schemas.openxmlformats.org/officeDocument/2006/relationships" r:id="R85117fa25570425c"/>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5" hidden="0" customWidth="1"/>
    <x:col min="3" max="3" width="17" hidden="0" customWidth="1"/>
    <x:col min="4" max="4" width="15" hidden="0" customWidth="1"/>
    <x:col min="5" max="5" width="16" hidden="0" customWidth="1"/>
    <x:col min="6" max="6" width="20" hidden="0" customWidth="1"/>
    <x:col min="7" max="7" width="14" hidden="0" customWidth="1"/>
    <x:col min="8" max="8" width="13" hidden="0" customWidth="1"/>
    <x:col min="9" max="9" width="13" hidden="0" customWidth="1"/>
    <x:col min="10" max="10" width="20" hidden="0" customWidth="1"/>
    <x:col min="11" max="11" width="22" hidden="0" customWidth="1"/>
    <x:col min="12" max="12" width="19" hidden="0" customWidth="1"/>
    <x:col min="13" max="13" width="19" hidden="0" customWidth="1"/>
    <x:col min="14" max="14" width="19" hidden="0" customWidth="1"/>
    <x:col min="15" max="15" width="20" hidden="0" customWidth="1"/>
    <x:col min="16" max="16" width="20" hidden="0" customWidth="1"/>
    <x:col min="17" max="17" width="42" hidden="0" customWidth="1"/>
  </x:cols>
  <x:sheetData>
    <x:row r="1" ht="36" customHeight="1">
      <x:c r="A1" s="9" t="str">
        <x:v>ID</x:v>
      </x:c>
      <x:c r="B1" s="9" t="str">
        <x:v>Planned date</x:v>
      </x:c>
      <x:c r="C1" s="9" t="str">
        <x:v>Actual published date</x:v>
      </x:c>
      <x:c r="D1" s="9" t="str">
        <x:v>Snapshot age (days)</x:v>
      </x:c>
      <x:c r="E1" s="9" t="str">
        <x:v>Accounts reached</x:v>
      </x:c>
      <x:c r="F1" s="9" t="str">
        <x:v>Non-follower reach (if available)</x:v>
      </x:c>
      <x:c r="G1" s="9" t="str">
        <x:v>Views</x:v>
      </x:c>
      <x:c r="H1" s="9" t="str">
        <x:v>Shares</x:v>
      </x:c>
      <x:c r="I1" s="9" t="str">
        <x:v>Saves</x:v>
      </x:c>
      <x:c r="J1" s="9" t="str">
        <x:v>Profile visits (if available)</x:v>
      </x:c>
      <x:c r="K1" s="9" t="str">
        <x:v>Post-attributed follows (if available)</x:v>
      </x:c>
      <x:c r="L1" s="9" t="str">
        <x:v>Shares / 1,000 reached</x:v>
      </x:c>
      <x:c r="M1" s="9" t="str">
        <x:v>Saves / 1,000 reached</x:v>
      </x:c>
      <x:c r="N1" s="9" t="str">
        <x:v>Follows / 1,000 reached</x:v>
      </x:c>
      <x:c r="O1" s="9" t="str">
        <x:v>Profile visits / 1,000 reached</x:v>
      </x:c>
      <x:c r="P1" s="9" t="str">
        <x:v>Exposure context</x:v>
      </x:c>
      <x:c r="Q1" s="9" t="str">
        <x:v>Snapshot notes</x:v>
      </x:c>
    </x:row>
    <x:row r="2" ht="42" customHeight="1">
      <x:c r="A2" s="29" t="str">
        <x:v>BTB-001</x:v>
      </x:c>
      <x:c r="B2" s="62" t="n">
        <x:v>46323</x:v>
      </x:c>
      <x:c r="C2" s="54"/>
      <x:c r="D2" s="55"/>
      <x:c r="E2" s="55"/>
      <x:c r="F2" s="55"/>
      <x:c r="G2" s="55"/>
      <x:c r="H2" s="55"/>
      <x:c r="I2" s="55"/>
      <x:c r="J2" s="55"/>
      <x:c r="K2" s="55"/>
      <x:c r="L2" s="56" t="str">
        <x:f>IF(OR(E2="",E2=0,H2=""),"",1000*H2/E2)</x:f>
      </x:c>
      <x:c r="M2" s="56" t="str">
        <x:f>IF(OR(E2="",E2=0,I2=""),"",1000*I2/E2)</x:f>
      </x:c>
      <x:c r="N2" s="56" t="str">
        <x:f>IF(OR(E2="",E2=0,K2=""),"",1000*K2/E2)</x:f>
      </x:c>
      <x:c r="O2" s="56" t="str">
        <x:f>IF(OR(E2="",E2=0,J2=""),"",1000*J2/E2)</x:f>
      </x:c>
      <x:c r="P2" s="36"/>
      <x:c r="Q2" s="36"/>
    </x:row>
    <x:row r="3" ht="42" customHeight="1">
      <x:c r="A3" s="29" t="str">
        <x:v>BTB-002</x:v>
      </x:c>
      <x:c r="B3" s="62" t="n">
        <x:v>46324</x:v>
      </x:c>
      <x:c r="C3" s="54"/>
      <x:c r="D3" s="55"/>
      <x:c r="E3" s="55"/>
      <x:c r="F3" s="55"/>
      <x:c r="G3" s="55"/>
      <x:c r="H3" s="55"/>
      <x:c r="I3" s="55"/>
      <x:c r="J3" s="55"/>
      <x:c r="K3" s="55"/>
      <x:c r="L3" s="56" t="str">
        <x:f>IF(OR(E3="",E3=0,H3=""),"",1000*H3/E3)</x:f>
      </x:c>
      <x:c r="M3" s="56" t="str">
        <x:f>IF(OR(E3="",E3=0,I3=""),"",1000*I3/E3)</x:f>
      </x:c>
      <x:c r="N3" s="56" t="str">
        <x:f>IF(OR(E3="",E3=0,K3=""),"",1000*K3/E3)</x:f>
      </x:c>
      <x:c r="O3" s="56" t="str">
        <x:f>IF(OR(E3="",E3=0,J3=""),"",1000*J3/E3)</x:f>
      </x:c>
      <x:c r="P3" s="36"/>
      <x:c r="Q3" s="36"/>
    </x:row>
    <x:row r="4" ht="42" customHeight="1">
      <x:c r="A4" s="29" t="str">
        <x:v>BTB-003</x:v>
      </x:c>
      <x:c r="B4" s="62" t="n">
        <x:v>46325</x:v>
      </x:c>
      <x:c r="C4" s="54"/>
      <x:c r="D4" s="55"/>
      <x:c r="E4" s="55"/>
      <x:c r="F4" s="55"/>
      <x:c r="G4" s="55"/>
      <x:c r="H4" s="55"/>
      <x:c r="I4" s="55"/>
      <x:c r="J4" s="55"/>
      <x:c r="K4" s="55"/>
      <x:c r="L4" s="56" t="str">
        <x:f>IF(OR(E4="",E4=0,H4=""),"",1000*H4/E4)</x:f>
      </x:c>
      <x:c r="M4" s="56" t="str">
        <x:f>IF(OR(E4="",E4=0,I4=""),"",1000*I4/E4)</x:f>
      </x:c>
      <x:c r="N4" s="56" t="str">
        <x:f>IF(OR(E4="",E4=0,K4=""),"",1000*K4/E4)</x:f>
      </x:c>
      <x:c r="O4" s="56" t="str">
        <x:f>IF(OR(E4="",E4=0,J4=""),"",1000*J4/E4)</x:f>
      </x:c>
      <x:c r="P4" s="36"/>
      <x:c r="Q4" s="36"/>
    </x:row>
    <x:row r="5" ht="42" customHeight="1">
      <x:c r="A5" s="29" t="str">
        <x:v>BTB-004</x:v>
      </x:c>
      <x:c r="B5" s="62" t="n">
        <x:v>46326</x:v>
      </x:c>
      <x:c r="C5" s="54"/>
      <x:c r="D5" s="55"/>
      <x:c r="E5" s="55"/>
      <x:c r="F5" s="55"/>
      <x:c r="G5" s="55"/>
      <x:c r="H5" s="55"/>
      <x:c r="I5" s="55"/>
      <x:c r="J5" s="55"/>
      <x:c r="K5" s="55"/>
      <x:c r="L5" s="56" t="str">
        <x:f>IF(OR(E5="",E5=0,H5=""),"",1000*H5/E5)</x:f>
      </x:c>
      <x:c r="M5" s="56" t="str">
        <x:f>IF(OR(E5="",E5=0,I5=""),"",1000*I5/E5)</x:f>
      </x:c>
      <x:c r="N5" s="56" t="str">
        <x:f>IF(OR(E5="",E5=0,K5=""),"",1000*K5/E5)</x:f>
      </x:c>
      <x:c r="O5" s="56" t="str">
        <x:f>IF(OR(E5="",E5=0,J5=""),"",1000*J5/E5)</x:f>
      </x:c>
      <x:c r="P5" s="36"/>
      <x:c r="Q5" s="36"/>
    </x:row>
    <x:row r="6" ht="42" customHeight="1">
      <x:c r="A6" s="29" t="str">
        <x:v>BTB-005</x:v>
      </x:c>
      <x:c r="B6" s="62" t="n">
        <x:v>46327</x:v>
      </x:c>
      <x:c r="C6" s="54"/>
      <x:c r="D6" s="55"/>
      <x:c r="E6" s="55"/>
      <x:c r="F6" s="55"/>
      <x:c r="G6" s="55"/>
      <x:c r="H6" s="55"/>
      <x:c r="I6" s="55"/>
      <x:c r="J6" s="55"/>
      <x:c r="K6" s="55"/>
      <x:c r="L6" s="56" t="str">
        <x:f>IF(OR(E6="",E6=0,H6=""),"",1000*H6/E6)</x:f>
      </x:c>
      <x:c r="M6" s="56" t="str">
        <x:f>IF(OR(E6="",E6=0,I6=""),"",1000*I6/E6)</x:f>
      </x:c>
      <x:c r="N6" s="56" t="str">
        <x:f>IF(OR(E6="",E6=0,K6=""),"",1000*K6/E6)</x:f>
      </x:c>
      <x:c r="O6" s="56" t="str">
        <x:f>IF(OR(E6="",E6=0,J6=""),"",1000*J6/E6)</x:f>
      </x:c>
      <x:c r="P6" s="36"/>
      <x:c r="Q6" s="36"/>
    </x:row>
    <x:row r="7" ht="42" customHeight="1">
      <x:c r="A7" s="29" t="str">
        <x:v>BTB-006</x:v>
      </x:c>
      <x:c r="B7" s="62" t="n">
        <x:v>46328</x:v>
      </x:c>
      <x:c r="C7" s="54"/>
      <x:c r="D7" s="55"/>
      <x:c r="E7" s="55"/>
      <x:c r="F7" s="55"/>
      <x:c r="G7" s="55"/>
      <x:c r="H7" s="55"/>
      <x:c r="I7" s="55"/>
      <x:c r="J7" s="55"/>
      <x:c r="K7" s="55"/>
      <x:c r="L7" s="56" t="str">
        <x:f>IF(OR(E7="",E7=0,H7=""),"",1000*H7/E7)</x:f>
      </x:c>
      <x:c r="M7" s="56" t="str">
        <x:f>IF(OR(E7="",E7=0,I7=""),"",1000*I7/E7)</x:f>
      </x:c>
      <x:c r="N7" s="56" t="str">
        <x:f>IF(OR(E7="",E7=0,K7=""),"",1000*K7/E7)</x:f>
      </x:c>
      <x:c r="O7" s="56" t="str">
        <x:f>IF(OR(E7="",E7=0,J7=""),"",1000*J7/E7)</x:f>
      </x:c>
      <x:c r="P7" s="36"/>
      <x:c r="Q7" s="36"/>
    </x:row>
    <x:row r="8" ht="42" customHeight="1">
      <x:c r="A8" s="29" t="str">
        <x:v>BTB-007</x:v>
      </x:c>
      <x:c r="B8" s="62" t="n">
        <x:v>46329</x:v>
      </x:c>
      <x:c r="C8" s="54"/>
      <x:c r="D8" s="55"/>
      <x:c r="E8" s="55"/>
      <x:c r="F8" s="55"/>
      <x:c r="G8" s="55"/>
      <x:c r="H8" s="55"/>
      <x:c r="I8" s="55"/>
      <x:c r="J8" s="55"/>
      <x:c r="K8" s="55"/>
      <x:c r="L8" s="56" t="str">
        <x:f>IF(OR(E8="",E8=0,H8=""),"",1000*H8/E8)</x:f>
      </x:c>
      <x:c r="M8" s="56" t="str">
        <x:f>IF(OR(E8="",E8=0,I8=""),"",1000*I8/E8)</x:f>
      </x:c>
      <x:c r="N8" s="56" t="str">
        <x:f>IF(OR(E8="",E8=0,K8=""),"",1000*K8/E8)</x:f>
      </x:c>
      <x:c r="O8" s="56" t="str">
        <x:f>IF(OR(E8="",E8=0,J8=""),"",1000*J8/E8)</x:f>
      </x:c>
      <x:c r="P8" s="36"/>
      <x:c r="Q8" s="36"/>
    </x:row>
    <x:row r="9" ht="42" customHeight="1">
      <x:c r="A9" s="29" t="str">
        <x:v>BTB-008</x:v>
      </x:c>
      <x:c r="B9" s="62" t="n">
        <x:v>46330</x:v>
      </x:c>
      <x:c r="C9" s="54"/>
      <x:c r="D9" s="55"/>
      <x:c r="E9" s="55"/>
      <x:c r="F9" s="55"/>
      <x:c r="G9" s="55"/>
      <x:c r="H9" s="55"/>
      <x:c r="I9" s="55"/>
      <x:c r="J9" s="55"/>
      <x:c r="K9" s="55"/>
      <x:c r="L9" s="56" t="str">
        <x:f>IF(OR(E9="",E9=0,H9=""),"",1000*H9/E9)</x:f>
      </x:c>
      <x:c r="M9" s="56" t="str">
        <x:f>IF(OR(E9="",E9=0,I9=""),"",1000*I9/E9)</x:f>
      </x:c>
      <x:c r="N9" s="56" t="str">
        <x:f>IF(OR(E9="",E9=0,K9=""),"",1000*K9/E9)</x:f>
      </x:c>
      <x:c r="O9" s="56" t="str">
        <x:f>IF(OR(E9="",E9=0,J9=""),"",1000*J9/E9)</x:f>
      </x:c>
      <x:c r="P9" s="36"/>
      <x:c r="Q9" s="36"/>
    </x:row>
    <x:row r="10" ht="42" customHeight="1">
      <x:c r="A10" s="29" t="str">
        <x:v>BTB-009</x:v>
      </x:c>
      <x:c r="B10" s="62" t="n">
        <x:v>46331</x:v>
      </x:c>
      <x:c r="C10" s="54"/>
      <x:c r="D10" s="55"/>
      <x:c r="E10" s="55"/>
      <x:c r="F10" s="55"/>
      <x:c r="G10" s="55"/>
      <x:c r="H10" s="55"/>
      <x:c r="I10" s="55"/>
      <x:c r="J10" s="55"/>
      <x:c r="K10" s="55"/>
      <x:c r="L10" s="56" t="str">
        <x:f>IF(OR(E10="",E10=0,H10=""),"",1000*H10/E10)</x:f>
      </x:c>
      <x:c r="M10" s="56" t="str">
        <x:f>IF(OR(E10="",E10=0,I10=""),"",1000*I10/E10)</x:f>
      </x:c>
      <x:c r="N10" s="56" t="str">
        <x:f>IF(OR(E10="",E10=0,K10=""),"",1000*K10/E10)</x:f>
      </x:c>
      <x:c r="O10" s="56" t="str">
        <x:f>IF(OR(E10="",E10=0,J10=""),"",1000*J10/E10)</x:f>
      </x:c>
      <x:c r="P10" s="36"/>
      <x:c r="Q10" s="36"/>
    </x:row>
    <x:row r="11" ht="42" customHeight="1">
      <x:c r="A11" s="29" t="str">
        <x:v>BTB-010</x:v>
      </x:c>
      <x:c r="B11" s="62" t="n">
        <x:v>46332</x:v>
      </x:c>
      <x:c r="C11" s="54"/>
      <x:c r="D11" s="55"/>
      <x:c r="E11" s="55"/>
      <x:c r="F11" s="55"/>
      <x:c r="G11" s="55"/>
      <x:c r="H11" s="55"/>
      <x:c r="I11" s="55"/>
      <x:c r="J11" s="55"/>
      <x:c r="K11" s="55"/>
      <x:c r="L11" s="56" t="str">
        <x:f>IF(OR(E11="",E11=0,H11=""),"",1000*H11/E11)</x:f>
      </x:c>
      <x:c r="M11" s="56" t="str">
        <x:f>IF(OR(E11="",E11=0,I11=""),"",1000*I11/E11)</x:f>
      </x:c>
      <x:c r="N11" s="56" t="str">
        <x:f>IF(OR(E11="",E11=0,K11=""),"",1000*K11/E11)</x:f>
      </x:c>
      <x:c r="O11" s="56" t="str">
        <x:f>IF(OR(E11="",E11=0,J11=""),"",1000*J11/E11)</x:f>
      </x:c>
      <x:c r="P11" s="36"/>
      <x:c r="Q11" s="36"/>
    </x:row>
    <x:row r="12" ht="42" customHeight="1">
      <x:c r="A12" s="29" t="str">
        <x:v>BTB-011</x:v>
      </x:c>
      <x:c r="B12" s="62" t="n">
        <x:v>46333</x:v>
      </x:c>
      <x:c r="C12" s="54"/>
      <x:c r="D12" s="55"/>
      <x:c r="E12" s="55"/>
      <x:c r="F12" s="55"/>
      <x:c r="G12" s="55"/>
      <x:c r="H12" s="55"/>
      <x:c r="I12" s="55"/>
      <x:c r="J12" s="55"/>
      <x:c r="K12" s="55"/>
      <x:c r="L12" s="56" t="str">
        <x:f>IF(OR(E12="",E12=0,H12=""),"",1000*H12/E12)</x:f>
      </x:c>
      <x:c r="M12" s="56" t="str">
        <x:f>IF(OR(E12="",E12=0,I12=""),"",1000*I12/E12)</x:f>
      </x:c>
      <x:c r="N12" s="56" t="str">
        <x:f>IF(OR(E12="",E12=0,K12=""),"",1000*K12/E12)</x:f>
      </x:c>
      <x:c r="O12" s="56" t="str">
        <x:f>IF(OR(E12="",E12=0,J12=""),"",1000*J12/E12)</x:f>
      </x:c>
      <x:c r="P12" s="36"/>
      <x:c r="Q12" s="36"/>
    </x:row>
    <x:row r="13" ht="42" customHeight="1">
      <x:c r="A13" s="29" t="str">
        <x:v>BTB-012</x:v>
      </x:c>
      <x:c r="B13" s="62" t="n">
        <x:v>46334</x:v>
      </x:c>
      <x:c r="C13" s="54"/>
      <x:c r="D13" s="55"/>
      <x:c r="E13" s="55"/>
      <x:c r="F13" s="55"/>
      <x:c r="G13" s="55"/>
      <x:c r="H13" s="55"/>
      <x:c r="I13" s="55"/>
      <x:c r="J13" s="55"/>
      <x:c r="K13" s="55"/>
      <x:c r="L13" s="56" t="str">
        <x:f>IF(OR(E13="",E13=0,H13=""),"",1000*H13/E13)</x:f>
      </x:c>
      <x:c r="M13" s="56" t="str">
        <x:f>IF(OR(E13="",E13=0,I13=""),"",1000*I13/E13)</x:f>
      </x:c>
      <x:c r="N13" s="56" t="str">
        <x:f>IF(OR(E13="",E13=0,K13=""),"",1000*K13/E13)</x:f>
      </x:c>
      <x:c r="O13" s="56" t="str">
        <x:f>IF(OR(E13="",E13=0,J13=""),"",1000*J13/E13)</x:f>
      </x:c>
      <x:c r="P13" s="36"/>
      <x:c r="Q13" s="36"/>
    </x:row>
    <x:row r="14" ht="42" customHeight="1">
      <x:c r="A14" s="29" t="str">
        <x:v>BTB-013</x:v>
      </x:c>
      <x:c r="B14" s="62" t="n">
        <x:v>46335</x:v>
      </x:c>
      <x:c r="C14" s="54"/>
      <x:c r="D14" s="55"/>
      <x:c r="E14" s="55"/>
      <x:c r="F14" s="55"/>
      <x:c r="G14" s="55"/>
      <x:c r="H14" s="55"/>
      <x:c r="I14" s="55"/>
      <x:c r="J14" s="55"/>
      <x:c r="K14" s="55"/>
      <x:c r="L14" s="56" t="str">
        <x:f>IF(OR(E14="",E14=0,H14=""),"",1000*H14/E14)</x:f>
      </x:c>
      <x:c r="M14" s="56" t="str">
        <x:f>IF(OR(E14="",E14=0,I14=""),"",1000*I14/E14)</x:f>
      </x:c>
      <x:c r="N14" s="56" t="str">
        <x:f>IF(OR(E14="",E14=0,K14=""),"",1000*K14/E14)</x:f>
      </x:c>
      <x:c r="O14" s="56" t="str">
        <x:f>IF(OR(E14="",E14=0,J14=""),"",1000*J14/E14)</x:f>
      </x:c>
      <x:c r="P14" s="36"/>
      <x:c r="Q14" s="36"/>
    </x:row>
    <x:row r="15" ht="42" customHeight="1">
      <x:c r="A15" s="29" t="str">
        <x:v>BTB-014</x:v>
      </x:c>
      <x:c r="B15" s="62" t="n">
        <x:v>46336</x:v>
      </x:c>
      <x:c r="C15" s="54"/>
      <x:c r="D15" s="55"/>
      <x:c r="E15" s="55"/>
      <x:c r="F15" s="55"/>
      <x:c r="G15" s="55"/>
      <x:c r="H15" s="55"/>
      <x:c r="I15" s="55"/>
      <x:c r="J15" s="55"/>
      <x:c r="K15" s="55"/>
      <x:c r="L15" s="56" t="str">
        <x:f>IF(OR(E15="",E15=0,H15=""),"",1000*H15/E15)</x:f>
      </x:c>
      <x:c r="M15" s="56" t="str">
        <x:f>IF(OR(E15="",E15=0,I15=""),"",1000*I15/E15)</x:f>
      </x:c>
      <x:c r="N15" s="56" t="str">
        <x:f>IF(OR(E15="",E15=0,K15=""),"",1000*K15/E15)</x:f>
      </x:c>
      <x:c r="O15" s="56" t="str">
        <x:f>IF(OR(E15="",E15=0,J15=""),"",1000*J15/E15)</x:f>
      </x:c>
      <x:c r="P15" s="36"/>
      <x:c r="Q15" s="36"/>
    </x:row>
    <x:row r="16" ht="42" customHeight="1">
      <x:c r="A16" s="29" t="str">
        <x:v>BTB-015</x:v>
      </x:c>
      <x:c r="B16" s="62" t="n">
        <x:v>46337</x:v>
      </x:c>
      <x:c r="C16" s="54"/>
      <x:c r="D16" s="55"/>
      <x:c r="E16" s="55"/>
      <x:c r="F16" s="55"/>
      <x:c r="G16" s="55"/>
      <x:c r="H16" s="55"/>
      <x:c r="I16" s="55"/>
      <x:c r="J16" s="55"/>
      <x:c r="K16" s="55"/>
      <x:c r="L16" s="56" t="str">
        <x:f>IF(OR(E16="",E16=0,H16=""),"",1000*H16/E16)</x:f>
      </x:c>
      <x:c r="M16" s="56" t="str">
        <x:f>IF(OR(E16="",E16=0,I16=""),"",1000*I16/E16)</x:f>
      </x:c>
      <x:c r="N16" s="56" t="str">
        <x:f>IF(OR(E16="",E16=0,K16=""),"",1000*K16/E16)</x:f>
      </x:c>
      <x:c r="O16" s="56" t="str">
        <x:f>IF(OR(E16="",E16=0,J16=""),"",1000*J16/E16)</x:f>
      </x:c>
      <x:c r="P16" s="36"/>
      <x:c r="Q16" s="36"/>
    </x:row>
    <x:row r="17" ht="42" customHeight="1">
      <x:c r="A17" s="29" t="str">
        <x:v>BTB-016</x:v>
      </x:c>
      <x:c r="B17" s="62" t="n">
        <x:v>46338</x:v>
      </x:c>
      <x:c r="C17" s="54"/>
      <x:c r="D17" s="55"/>
      <x:c r="E17" s="55"/>
      <x:c r="F17" s="55"/>
      <x:c r="G17" s="55"/>
      <x:c r="H17" s="55"/>
      <x:c r="I17" s="55"/>
      <x:c r="J17" s="55"/>
      <x:c r="K17" s="55"/>
      <x:c r="L17" s="56" t="str">
        <x:f>IF(OR(E17="",E17=0,H17=""),"",1000*H17/E17)</x:f>
      </x:c>
      <x:c r="M17" s="56" t="str">
        <x:f>IF(OR(E17="",E17=0,I17=""),"",1000*I17/E17)</x:f>
      </x:c>
      <x:c r="N17" s="56" t="str">
        <x:f>IF(OR(E17="",E17=0,K17=""),"",1000*K17/E17)</x:f>
      </x:c>
      <x:c r="O17" s="56" t="str">
        <x:f>IF(OR(E17="",E17=0,J17=""),"",1000*J17/E17)</x:f>
      </x:c>
      <x:c r="P17" s="36"/>
      <x:c r="Q17" s="36"/>
    </x:row>
    <x:row r="18" ht="42" customHeight="1">
      <x:c r="A18" s="29" t="str">
        <x:v>BTB-017</x:v>
      </x:c>
      <x:c r="B18" s="62" t="n">
        <x:v>46339</x:v>
      </x:c>
      <x:c r="C18" s="54"/>
      <x:c r="D18" s="55"/>
      <x:c r="E18" s="55"/>
      <x:c r="F18" s="55"/>
      <x:c r="G18" s="55"/>
      <x:c r="H18" s="55"/>
      <x:c r="I18" s="55"/>
      <x:c r="J18" s="55"/>
      <x:c r="K18" s="55"/>
      <x:c r="L18" s="56" t="str">
        <x:f>IF(OR(E18="",E18=0,H18=""),"",1000*H18/E18)</x:f>
      </x:c>
      <x:c r="M18" s="56" t="str">
        <x:f>IF(OR(E18="",E18=0,I18=""),"",1000*I18/E18)</x:f>
      </x:c>
      <x:c r="N18" s="56" t="str">
        <x:f>IF(OR(E18="",E18=0,K18=""),"",1000*K18/E18)</x:f>
      </x:c>
      <x:c r="O18" s="56" t="str">
        <x:f>IF(OR(E18="",E18=0,J18=""),"",1000*J18/E18)</x:f>
      </x:c>
      <x:c r="P18" s="36"/>
      <x:c r="Q18" s="36"/>
    </x:row>
    <x:row r="19" ht="42" customHeight="1">
      <x:c r="A19" s="29" t="str">
        <x:v>BTB-018</x:v>
      </x:c>
      <x:c r="B19" s="62" t="n">
        <x:v>46340</x:v>
      </x:c>
      <x:c r="C19" s="54"/>
      <x:c r="D19" s="55"/>
      <x:c r="E19" s="55"/>
      <x:c r="F19" s="55"/>
      <x:c r="G19" s="55"/>
      <x:c r="H19" s="55"/>
      <x:c r="I19" s="55"/>
      <x:c r="J19" s="55"/>
      <x:c r="K19" s="55"/>
      <x:c r="L19" s="56" t="str">
        <x:f>IF(OR(E19="",E19=0,H19=""),"",1000*H19/E19)</x:f>
      </x:c>
      <x:c r="M19" s="56" t="str">
        <x:f>IF(OR(E19="",E19=0,I19=""),"",1000*I19/E19)</x:f>
      </x:c>
      <x:c r="N19" s="56" t="str">
        <x:f>IF(OR(E19="",E19=0,K19=""),"",1000*K19/E19)</x:f>
      </x:c>
      <x:c r="O19" s="56" t="str">
        <x:f>IF(OR(E19="",E19=0,J19=""),"",1000*J19/E19)</x:f>
      </x:c>
      <x:c r="P19" s="36"/>
      <x:c r="Q19" s="36"/>
    </x:row>
    <x:row r="20" ht="42" customHeight="1">
      <x:c r="A20" s="29" t="str">
        <x:v>BTB-019</x:v>
      </x:c>
      <x:c r="B20" s="62" t="n">
        <x:v>46341</x:v>
      </x:c>
      <x:c r="C20" s="54"/>
      <x:c r="D20" s="55"/>
      <x:c r="E20" s="55"/>
      <x:c r="F20" s="55"/>
      <x:c r="G20" s="55"/>
      <x:c r="H20" s="55"/>
      <x:c r="I20" s="55"/>
      <x:c r="J20" s="55"/>
      <x:c r="K20" s="55"/>
      <x:c r="L20" s="56" t="str">
        <x:f>IF(OR(E20="",E20=0,H20=""),"",1000*H20/E20)</x:f>
      </x:c>
      <x:c r="M20" s="56" t="str">
        <x:f>IF(OR(E20="",E20=0,I20=""),"",1000*I20/E20)</x:f>
      </x:c>
      <x:c r="N20" s="56" t="str">
        <x:f>IF(OR(E20="",E20=0,K20=""),"",1000*K20/E20)</x:f>
      </x:c>
      <x:c r="O20" s="56" t="str">
        <x:f>IF(OR(E20="",E20=0,J20=""),"",1000*J20/E20)</x:f>
      </x:c>
      <x:c r="P20" s="36"/>
      <x:c r="Q20" s="36"/>
    </x:row>
    <x:row r="21" ht="42" customHeight="1">
      <x:c r="A21" s="29" t="str">
        <x:v>BTB-020</x:v>
      </x:c>
      <x:c r="B21" s="62" t="n">
        <x:v>46342</x:v>
      </x:c>
      <x:c r="C21" s="54"/>
      <x:c r="D21" s="55"/>
      <x:c r="E21" s="55"/>
      <x:c r="F21" s="55"/>
      <x:c r="G21" s="55"/>
      <x:c r="H21" s="55"/>
      <x:c r="I21" s="55"/>
      <x:c r="J21" s="55"/>
      <x:c r="K21" s="55"/>
      <x:c r="L21" s="56" t="str">
        <x:f>IF(OR(E21="",E21=0,H21=""),"",1000*H21/E21)</x:f>
      </x:c>
      <x:c r="M21" s="56" t="str">
        <x:f>IF(OR(E21="",E21=0,I21=""),"",1000*I21/E21)</x:f>
      </x:c>
      <x:c r="N21" s="56" t="str">
        <x:f>IF(OR(E21="",E21=0,K21=""),"",1000*K21/E21)</x:f>
      </x:c>
      <x:c r="O21" s="56" t="str">
        <x:f>IF(OR(E21="",E21=0,J21=""),"",1000*J21/E21)</x:f>
      </x:c>
      <x:c r="P21" s="36"/>
      <x:c r="Q21" s="36"/>
    </x:row>
    <x:row r="22" ht="42" customHeight="1">
      <x:c r="A22" s="29" t="str">
        <x:v>BTB-021</x:v>
      </x:c>
      <x:c r="B22" s="62" t="n">
        <x:v>46343</x:v>
      </x:c>
      <x:c r="C22" s="54"/>
      <x:c r="D22" s="55"/>
      <x:c r="E22" s="55"/>
      <x:c r="F22" s="55"/>
      <x:c r="G22" s="55"/>
      <x:c r="H22" s="55"/>
      <x:c r="I22" s="55"/>
      <x:c r="J22" s="55"/>
      <x:c r="K22" s="55"/>
      <x:c r="L22" s="56" t="str">
        <x:f>IF(OR(E22="",E22=0,H22=""),"",1000*H22/E22)</x:f>
      </x:c>
      <x:c r="M22" s="56" t="str">
        <x:f>IF(OR(E22="",E22=0,I22=""),"",1000*I22/E22)</x:f>
      </x:c>
      <x:c r="N22" s="56" t="str">
        <x:f>IF(OR(E22="",E22=0,K22=""),"",1000*K22/E22)</x:f>
      </x:c>
      <x:c r="O22" s="56" t="str">
        <x:f>IF(OR(E22="",E22=0,J22=""),"",1000*J22/E22)</x:f>
      </x:c>
      <x:c r="P22" s="36"/>
      <x:c r="Q22" s="36"/>
    </x:row>
    <x:row r="23" ht="42" customHeight="1">
      <x:c r="A23" s="29" t="str">
        <x:v>BTB-022</x:v>
      </x:c>
      <x:c r="B23" s="62" t="n">
        <x:v>46344</x:v>
      </x:c>
      <x:c r="C23" s="54"/>
      <x:c r="D23" s="55"/>
      <x:c r="E23" s="55"/>
      <x:c r="F23" s="55"/>
      <x:c r="G23" s="55"/>
      <x:c r="H23" s="55"/>
      <x:c r="I23" s="55"/>
      <x:c r="J23" s="55"/>
      <x:c r="K23" s="55"/>
      <x:c r="L23" s="56" t="str">
        <x:f>IF(OR(E23="",E23=0,H23=""),"",1000*H23/E23)</x:f>
      </x:c>
      <x:c r="M23" s="56" t="str">
        <x:f>IF(OR(E23="",E23=0,I23=""),"",1000*I23/E23)</x:f>
      </x:c>
      <x:c r="N23" s="56" t="str">
        <x:f>IF(OR(E23="",E23=0,K23=""),"",1000*K23/E23)</x:f>
      </x:c>
      <x:c r="O23" s="56" t="str">
        <x:f>IF(OR(E23="",E23=0,J23=""),"",1000*J23/E23)</x:f>
      </x:c>
      <x:c r="P23" s="36"/>
      <x:c r="Q23" s="36"/>
    </x:row>
    <x:row r="24" ht="42" customHeight="1">
      <x:c r="A24" s="29" t="str">
        <x:v>BTB-023</x:v>
      </x:c>
      <x:c r="B24" s="62" t="n">
        <x:v>46345</x:v>
      </x:c>
      <x:c r="C24" s="54"/>
      <x:c r="D24" s="55"/>
      <x:c r="E24" s="55"/>
      <x:c r="F24" s="55"/>
      <x:c r="G24" s="55"/>
      <x:c r="H24" s="55"/>
      <x:c r="I24" s="55"/>
      <x:c r="J24" s="55"/>
      <x:c r="K24" s="55"/>
      <x:c r="L24" s="56" t="str">
        <x:f>IF(OR(E24="",E24=0,H24=""),"",1000*H24/E24)</x:f>
      </x:c>
      <x:c r="M24" s="56" t="str">
        <x:f>IF(OR(E24="",E24=0,I24=""),"",1000*I24/E24)</x:f>
      </x:c>
      <x:c r="N24" s="56" t="str">
        <x:f>IF(OR(E24="",E24=0,K24=""),"",1000*K24/E24)</x:f>
      </x:c>
      <x:c r="O24" s="56" t="str">
        <x:f>IF(OR(E24="",E24=0,J24=""),"",1000*J24/E24)</x:f>
      </x:c>
      <x:c r="P24" s="36"/>
      <x:c r="Q24" s="36"/>
    </x:row>
    <x:row r="25" ht="42" customHeight="1">
      <x:c r="A25" s="29" t="str">
        <x:v>BTB-024</x:v>
      </x:c>
      <x:c r="B25" s="62" t="n">
        <x:v>46346</x:v>
      </x:c>
      <x:c r="C25" s="54"/>
      <x:c r="D25" s="55"/>
      <x:c r="E25" s="55"/>
      <x:c r="F25" s="55"/>
      <x:c r="G25" s="55"/>
      <x:c r="H25" s="55"/>
      <x:c r="I25" s="55"/>
      <x:c r="J25" s="55"/>
      <x:c r="K25" s="55"/>
      <x:c r="L25" s="56" t="str">
        <x:f>IF(OR(E25="",E25=0,H25=""),"",1000*H25/E25)</x:f>
      </x:c>
      <x:c r="M25" s="56" t="str">
        <x:f>IF(OR(E25="",E25=0,I25=""),"",1000*I25/E25)</x:f>
      </x:c>
      <x:c r="N25" s="56" t="str">
        <x:f>IF(OR(E25="",E25=0,K25=""),"",1000*K25/E25)</x:f>
      </x:c>
      <x:c r="O25" s="56" t="str">
        <x:f>IF(OR(E25="",E25=0,J25=""),"",1000*J25/E25)</x:f>
      </x:c>
      <x:c r="P25" s="36"/>
      <x:c r="Q25" s="36"/>
    </x:row>
    <x:row r="26" ht="42" customHeight="1">
      <x:c r="A26" s="29" t="str">
        <x:v>BTB-025</x:v>
      </x:c>
      <x:c r="B26" s="62" t="n">
        <x:v>46347</x:v>
      </x:c>
      <x:c r="C26" s="54"/>
      <x:c r="D26" s="55"/>
      <x:c r="E26" s="55"/>
      <x:c r="F26" s="55"/>
      <x:c r="G26" s="55"/>
      <x:c r="H26" s="55"/>
      <x:c r="I26" s="55"/>
      <x:c r="J26" s="55"/>
      <x:c r="K26" s="55"/>
      <x:c r="L26" s="56" t="str">
        <x:f>IF(OR(E26="",E26=0,H26=""),"",1000*H26/E26)</x:f>
      </x:c>
      <x:c r="M26" s="56" t="str">
        <x:f>IF(OR(E26="",E26=0,I26=""),"",1000*I26/E26)</x:f>
      </x:c>
      <x:c r="N26" s="56" t="str">
        <x:f>IF(OR(E26="",E26=0,K26=""),"",1000*K26/E26)</x:f>
      </x:c>
      <x:c r="O26" s="56" t="str">
        <x:f>IF(OR(E26="",E26=0,J26=""),"",1000*J26/E26)</x:f>
      </x:c>
      <x:c r="P26" s="36"/>
      <x:c r="Q26" s="36"/>
    </x:row>
    <x:row r="27" ht="42" customHeight="1">
      <x:c r="A27" s="29" t="str">
        <x:v>BTB-026</x:v>
      </x:c>
      <x:c r="B27" s="62" t="n">
        <x:v>46348</x:v>
      </x:c>
      <x:c r="C27" s="54"/>
      <x:c r="D27" s="55"/>
      <x:c r="E27" s="55"/>
      <x:c r="F27" s="55"/>
      <x:c r="G27" s="55"/>
      <x:c r="H27" s="55"/>
      <x:c r="I27" s="55"/>
      <x:c r="J27" s="55"/>
      <x:c r="K27" s="55"/>
      <x:c r="L27" s="56" t="str">
        <x:f>IF(OR(E27="",E27=0,H27=""),"",1000*H27/E27)</x:f>
      </x:c>
      <x:c r="M27" s="56" t="str">
        <x:f>IF(OR(E27="",E27=0,I27=""),"",1000*I27/E27)</x:f>
      </x:c>
      <x:c r="N27" s="56" t="str">
        <x:f>IF(OR(E27="",E27=0,K27=""),"",1000*K27/E27)</x:f>
      </x:c>
      <x:c r="O27" s="56" t="str">
        <x:f>IF(OR(E27="",E27=0,J27=""),"",1000*J27/E27)</x:f>
      </x:c>
      <x:c r="P27" s="36"/>
      <x:c r="Q27" s="36"/>
    </x:row>
    <x:row r="28" ht="42" customHeight="1">
      <x:c r="A28" s="29" t="str">
        <x:v>BTB-027</x:v>
      </x:c>
      <x:c r="B28" s="62" t="n">
        <x:v>46349</x:v>
      </x:c>
      <x:c r="C28" s="54"/>
      <x:c r="D28" s="55"/>
      <x:c r="E28" s="55"/>
      <x:c r="F28" s="55"/>
      <x:c r="G28" s="55"/>
      <x:c r="H28" s="55"/>
      <x:c r="I28" s="55"/>
      <x:c r="J28" s="55"/>
      <x:c r="K28" s="55"/>
      <x:c r="L28" s="56" t="str">
        <x:f>IF(OR(E28="",E28=0,H28=""),"",1000*H28/E28)</x:f>
      </x:c>
      <x:c r="M28" s="56" t="str">
        <x:f>IF(OR(E28="",E28=0,I28=""),"",1000*I28/E28)</x:f>
      </x:c>
      <x:c r="N28" s="56" t="str">
        <x:f>IF(OR(E28="",E28=0,K28=""),"",1000*K28/E28)</x:f>
      </x:c>
      <x:c r="O28" s="56" t="str">
        <x:f>IF(OR(E28="",E28=0,J28=""),"",1000*J28/E28)</x:f>
      </x:c>
      <x:c r="P28" s="36"/>
      <x:c r="Q28" s="36"/>
    </x:row>
    <x:row r="29" ht="42" customHeight="1">
      <x:c r="A29" s="29" t="str">
        <x:v>BTB-028</x:v>
      </x:c>
      <x:c r="B29" s="62" t="n">
        <x:v>46350</x:v>
      </x:c>
      <x:c r="C29" s="54"/>
      <x:c r="D29" s="55"/>
      <x:c r="E29" s="55"/>
      <x:c r="F29" s="55"/>
      <x:c r="G29" s="55"/>
      <x:c r="H29" s="55"/>
      <x:c r="I29" s="55"/>
      <x:c r="J29" s="55"/>
      <x:c r="K29" s="55"/>
      <x:c r="L29" s="56" t="str">
        <x:f>IF(OR(E29="",E29=0,H29=""),"",1000*H29/E29)</x:f>
      </x:c>
      <x:c r="M29" s="56" t="str">
        <x:f>IF(OR(E29="",E29=0,I29=""),"",1000*I29/E29)</x:f>
      </x:c>
      <x:c r="N29" s="56" t="str">
        <x:f>IF(OR(E29="",E29=0,K29=""),"",1000*K29/E29)</x:f>
      </x:c>
      <x:c r="O29" s="56" t="str">
        <x:f>IF(OR(E29="",E29=0,J29=""),"",1000*J29/E29)</x:f>
      </x:c>
      <x:c r="P29" s="36"/>
      <x:c r="Q29" s="36"/>
    </x:row>
    <x:row r="30" ht="42" customHeight="1">
      <x:c r="A30" s="29" t="str">
        <x:v>BTB-029</x:v>
      </x:c>
      <x:c r="B30" s="62" t="n">
        <x:v>46351</x:v>
      </x:c>
      <x:c r="C30" s="54"/>
      <x:c r="D30" s="55"/>
      <x:c r="E30" s="55"/>
      <x:c r="F30" s="55"/>
      <x:c r="G30" s="55"/>
      <x:c r="H30" s="55"/>
      <x:c r="I30" s="55"/>
      <x:c r="J30" s="55"/>
      <x:c r="K30" s="55"/>
      <x:c r="L30" s="56" t="str">
        <x:f>IF(OR(E30="",E30=0,H30=""),"",1000*H30/E30)</x:f>
      </x:c>
      <x:c r="M30" s="56" t="str">
        <x:f>IF(OR(E30="",E30=0,I30=""),"",1000*I30/E30)</x:f>
      </x:c>
      <x:c r="N30" s="56" t="str">
        <x:f>IF(OR(E30="",E30=0,K30=""),"",1000*K30/E30)</x:f>
      </x:c>
      <x:c r="O30" s="56" t="str">
        <x:f>IF(OR(E30="",E30=0,J30=""),"",1000*J30/E30)</x:f>
      </x:c>
      <x:c r="P30" s="36"/>
      <x:c r="Q30" s="36"/>
    </x:row>
    <x:row r="31" ht="42" customHeight="1">
      <x:c r="A31" s="29" t="str">
        <x:v>BTB-030</x:v>
      </x:c>
      <x:c r="B31" s="62" t="n">
        <x:v>46352</x:v>
      </x:c>
      <x:c r="C31" s="54"/>
      <x:c r="D31" s="55"/>
      <x:c r="E31" s="55"/>
      <x:c r="F31" s="55"/>
      <x:c r="G31" s="55"/>
      <x:c r="H31" s="55"/>
      <x:c r="I31" s="55"/>
      <x:c r="J31" s="55"/>
      <x:c r="K31" s="55"/>
      <x:c r="L31" s="56" t="str">
        <x:f>IF(OR(E31="",E31=0,H31=""),"",1000*H31/E31)</x:f>
      </x:c>
      <x:c r="M31" s="56" t="str">
        <x:f>IF(OR(E31="",E31=0,I31=""),"",1000*I31/E31)</x:f>
      </x:c>
      <x:c r="N31" s="56" t="str">
        <x:f>IF(OR(E31="",E31=0,K31=""),"",1000*K31/E31)</x:f>
      </x:c>
      <x:c r="O31" s="56" t="str">
        <x:f>IF(OR(E31="",E31=0,J31=""),"",1000*J31/E31)</x:f>
      </x:c>
      <x:c r="P31" s="36"/>
      <x:c r="Q31" s="36"/>
    </x:row>
    <x:row r="32" ht="42" customHeight="1">
      <x:c r="A32" s="29" t="str">
        <x:v>BTB-031</x:v>
      </x:c>
      <x:c r="B32" s="62" t="n">
        <x:v>46353</x:v>
      </x:c>
      <x:c r="C32" s="54"/>
      <x:c r="D32" s="55"/>
      <x:c r="E32" s="55"/>
      <x:c r="F32" s="55"/>
      <x:c r="G32" s="55"/>
      <x:c r="H32" s="55"/>
      <x:c r="I32" s="55"/>
      <x:c r="J32" s="55"/>
      <x:c r="K32" s="55"/>
      <x:c r="L32" s="56" t="str">
        <x:f>IF(OR(E32="",E32=0,H32=""),"",1000*H32/E32)</x:f>
      </x:c>
      <x:c r="M32" s="56" t="str">
        <x:f>IF(OR(E32="",E32=0,I32=""),"",1000*I32/E32)</x:f>
      </x:c>
      <x:c r="N32" s="56" t="str">
        <x:f>IF(OR(E32="",E32=0,K32=""),"",1000*K32/E32)</x:f>
      </x:c>
      <x:c r="O32" s="56" t="str">
        <x:f>IF(OR(E32="",E32=0,J32=""),"",1000*J32/E32)</x:f>
      </x:c>
      <x:c r="P32" s="36"/>
      <x:c r="Q32" s="36"/>
    </x:row>
    <x:row r="33" ht="42" customHeight="1">
      <x:c r="A33" s="29" t="str">
        <x:v>BTB-032</x:v>
      </x:c>
      <x:c r="B33" s="62" t="n">
        <x:v>46354</x:v>
      </x:c>
      <x:c r="C33" s="54"/>
      <x:c r="D33" s="55"/>
      <x:c r="E33" s="55"/>
      <x:c r="F33" s="55"/>
      <x:c r="G33" s="55"/>
      <x:c r="H33" s="55"/>
      <x:c r="I33" s="55"/>
      <x:c r="J33" s="55"/>
      <x:c r="K33" s="55"/>
      <x:c r="L33" s="56" t="str">
        <x:f>IF(OR(E33="",E33=0,H33=""),"",1000*H33/E33)</x:f>
      </x:c>
      <x:c r="M33" s="56" t="str">
        <x:f>IF(OR(E33="",E33=0,I33=""),"",1000*I33/E33)</x:f>
      </x:c>
      <x:c r="N33" s="56" t="str">
        <x:f>IF(OR(E33="",E33=0,K33=""),"",1000*K33/E33)</x:f>
      </x:c>
      <x:c r="O33" s="56" t="str">
        <x:f>IF(OR(E33="",E33=0,J33=""),"",1000*J33/E33)</x:f>
      </x:c>
      <x:c r="P33" s="36"/>
      <x:c r="Q33" s="36"/>
    </x:row>
    <x:row r="34" ht="42" customHeight="1">
      <x:c r="A34" s="29" t="str">
        <x:v>BTB-033</x:v>
      </x:c>
      <x:c r="B34" s="62" t="n">
        <x:v>46355</x:v>
      </x:c>
      <x:c r="C34" s="54"/>
      <x:c r="D34" s="55"/>
      <x:c r="E34" s="55"/>
      <x:c r="F34" s="55"/>
      <x:c r="G34" s="55"/>
      <x:c r="H34" s="55"/>
      <x:c r="I34" s="55"/>
      <x:c r="J34" s="55"/>
      <x:c r="K34" s="55"/>
      <x:c r="L34" s="56" t="str">
        <x:f>IF(OR(E34="",E34=0,H34=""),"",1000*H34/E34)</x:f>
      </x:c>
      <x:c r="M34" s="56" t="str">
        <x:f>IF(OR(E34="",E34=0,I34=""),"",1000*I34/E34)</x:f>
      </x:c>
      <x:c r="N34" s="56" t="str">
        <x:f>IF(OR(E34="",E34=0,K34=""),"",1000*K34/E34)</x:f>
      </x:c>
      <x:c r="O34" s="56" t="str">
        <x:f>IF(OR(E34="",E34=0,J34=""),"",1000*J34/E34)</x:f>
      </x:c>
      <x:c r="P34" s="36"/>
      <x:c r="Q34" s="36"/>
    </x:row>
    <x:row r="35" ht="42" customHeight="1">
      <x:c r="A35" s="29" t="str">
        <x:v>BTB-034</x:v>
      </x:c>
      <x:c r="B35" s="62" t="n">
        <x:v>46356</x:v>
      </x:c>
      <x:c r="C35" s="54"/>
      <x:c r="D35" s="55"/>
      <x:c r="E35" s="55"/>
      <x:c r="F35" s="55"/>
      <x:c r="G35" s="55"/>
      <x:c r="H35" s="55"/>
      <x:c r="I35" s="55"/>
      <x:c r="J35" s="55"/>
      <x:c r="K35" s="55"/>
      <x:c r="L35" s="56" t="str">
        <x:f>IF(OR(E35="",E35=0,H35=""),"",1000*H35/E35)</x:f>
      </x:c>
      <x:c r="M35" s="56" t="str">
        <x:f>IF(OR(E35="",E35=0,I35=""),"",1000*I35/E35)</x:f>
      </x:c>
      <x:c r="N35" s="56" t="str">
        <x:f>IF(OR(E35="",E35=0,K35=""),"",1000*K35/E35)</x:f>
      </x:c>
      <x:c r="O35" s="56" t="str">
        <x:f>IF(OR(E35="",E35=0,J35=""),"",1000*J35/E35)</x:f>
      </x:c>
      <x:c r="P35" s="36"/>
      <x:c r="Q35" s="36"/>
    </x:row>
    <x:row r="36" ht="42" customHeight="1">
      <x:c r="A36" s="29" t="str">
        <x:v>BTB-035</x:v>
      </x:c>
      <x:c r="B36" s="62" t="n">
        <x:v>46357</x:v>
      </x:c>
      <x:c r="C36" s="54"/>
      <x:c r="D36" s="55"/>
      <x:c r="E36" s="55"/>
      <x:c r="F36" s="55"/>
      <x:c r="G36" s="55"/>
      <x:c r="H36" s="55"/>
      <x:c r="I36" s="55"/>
      <x:c r="J36" s="55"/>
      <x:c r="K36" s="55"/>
      <x:c r="L36" s="56" t="str">
        <x:f>IF(OR(E36="",E36=0,H36=""),"",1000*H36/E36)</x:f>
      </x:c>
      <x:c r="M36" s="56" t="str">
        <x:f>IF(OR(E36="",E36=0,I36=""),"",1000*I36/E36)</x:f>
      </x:c>
      <x:c r="N36" s="56" t="str">
        <x:f>IF(OR(E36="",E36=0,K36=""),"",1000*K36/E36)</x:f>
      </x:c>
      <x:c r="O36" s="56" t="str">
        <x:f>IF(OR(E36="",E36=0,J36=""),"",1000*J36/E36)</x:f>
      </x:c>
      <x:c r="P36" s="36"/>
      <x:c r="Q36" s="36"/>
    </x:row>
    <x:row r="37" ht="42" customHeight="1">
      <x:c r="A37" s="29" t="str">
        <x:v>BTB-036</x:v>
      </x:c>
      <x:c r="B37" s="62" t="n">
        <x:v>46358</x:v>
      </x:c>
      <x:c r="C37" s="54"/>
      <x:c r="D37" s="55"/>
      <x:c r="E37" s="55"/>
      <x:c r="F37" s="55"/>
      <x:c r="G37" s="55"/>
      <x:c r="H37" s="55"/>
      <x:c r="I37" s="55"/>
      <x:c r="J37" s="55"/>
      <x:c r="K37" s="55"/>
      <x:c r="L37" s="56" t="str">
        <x:f>IF(OR(E37="",E37=0,H37=""),"",1000*H37/E37)</x:f>
      </x:c>
      <x:c r="M37" s="56" t="str">
        <x:f>IF(OR(E37="",E37=0,I37=""),"",1000*I37/E37)</x:f>
      </x:c>
      <x:c r="N37" s="56" t="str">
        <x:f>IF(OR(E37="",E37=0,K37=""),"",1000*K37/E37)</x:f>
      </x:c>
      <x:c r="O37" s="56" t="str">
        <x:f>IF(OR(E37="",E37=0,J37=""),"",1000*J37/E37)</x:f>
      </x:c>
      <x:c r="P37" s="36"/>
      <x:c r="Q37" s="36"/>
    </x:row>
    <x:row r="38" ht="42" customHeight="1">
      <x:c r="A38" s="29" t="str">
        <x:v>BTB-037</x:v>
      </x:c>
      <x:c r="B38" s="62" t="n">
        <x:v>46359</x:v>
      </x:c>
      <x:c r="C38" s="54"/>
      <x:c r="D38" s="55"/>
      <x:c r="E38" s="55"/>
      <x:c r="F38" s="55"/>
      <x:c r="G38" s="55"/>
      <x:c r="H38" s="55"/>
      <x:c r="I38" s="55"/>
      <x:c r="J38" s="55"/>
      <x:c r="K38" s="55"/>
      <x:c r="L38" s="56" t="str">
        <x:f>IF(OR(E38="",E38=0,H38=""),"",1000*H38/E38)</x:f>
      </x:c>
      <x:c r="M38" s="56" t="str">
        <x:f>IF(OR(E38="",E38=0,I38=""),"",1000*I38/E38)</x:f>
      </x:c>
      <x:c r="N38" s="56" t="str">
        <x:f>IF(OR(E38="",E38=0,K38=""),"",1000*K38/E38)</x:f>
      </x:c>
      <x:c r="O38" s="56" t="str">
        <x:f>IF(OR(E38="",E38=0,J38=""),"",1000*J38/E38)</x:f>
      </x:c>
      <x:c r="P38" s="36"/>
      <x:c r="Q38" s="36"/>
    </x:row>
    <x:row r="39" ht="42" customHeight="1">
      <x:c r="A39" s="29" t="str">
        <x:v>BTB-038</x:v>
      </x:c>
      <x:c r="B39" s="62" t="n">
        <x:v>46360</x:v>
      </x:c>
      <x:c r="C39" s="54"/>
      <x:c r="D39" s="55"/>
      <x:c r="E39" s="55"/>
      <x:c r="F39" s="55"/>
      <x:c r="G39" s="55"/>
      <x:c r="H39" s="55"/>
      <x:c r="I39" s="55"/>
      <x:c r="J39" s="55"/>
      <x:c r="K39" s="55"/>
      <x:c r="L39" s="56" t="str">
        <x:f>IF(OR(E39="",E39=0,H39=""),"",1000*H39/E39)</x:f>
      </x:c>
      <x:c r="M39" s="56" t="str">
        <x:f>IF(OR(E39="",E39=0,I39=""),"",1000*I39/E39)</x:f>
      </x:c>
      <x:c r="N39" s="56" t="str">
        <x:f>IF(OR(E39="",E39=0,K39=""),"",1000*K39/E39)</x:f>
      </x:c>
      <x:c r="O39" s="56" t="str">
        <x:f>IF(OR(E39="",E39=0,J39=""),"",1000*J39/E39)</x:f>
      </x:c>
      <x:c r="P39" s="36"/>
      <x:c r="Q39" s="36"/>
    </x:row>
    <x:row r="40" ht="42" customHeight="1">
      <x:c r="A40" s="29" t="str">
        <x:v>BTB-039</x:v>
      </x:c>
      <x:c r="B40" s="62" t="n">
        <x:v>46361</x:v>
      </x:c>
      <x:c r="C40" s="54"/>
      <x:c r="D40" s="55"/>
      <x:c r="E40" s="55"/>
      <x:c r="F40" s="55"/>
      <x:c r="G40" s="55"/>
      <x:c r="H40" s="55"/>
      <x:c r="I40" s="55"/>
      <x:c r="J40" s="55"/>
      <x:c r="K40" s="55"/>
      <x:c r="L40" s="56" t="str">
        <x:f>IF(OR(E40="",E40=0,H40=""),"",1000*H40/E40)</x:f>
      </x:c>
      <x:c r="M40" s="56" t="str">
        <x:f>IF(OR(E40="",E40=0,I40=""),"",1000*I40/E40)</x:f>
      </x:c>
      <x:c r="N40" s="56" t="str">
        <x:f>IF(OR(E40="",E40=0,K40=""),"",1000*K40/E40)</x:f>
      </x:c>
      <x:c r="O40" s="56" t="str">
        <x:f>IF(OR(E40="",E40=0,J40=""),"",1000*J40/E40)</x:f>
      </x:c>
      <x:c r="P40" s="36"/>
      <x:c r="Q40" s="36"/>
    </x:row>
    <x:row r="41" ht="42" customHeight="1">
      <x:c r="A41" s="29" t="str">
        <x:v>BTB-040</x:v>
      </x:c>
      <x:c r="B41" s="62" t="n">
        <x:v>46362</x:v>
      </x:c>
      <x:c r="C41" s="54"/>
      <x:c r="D41" s="55"/>
      <x:c r="E41" s="55"/>
      <x:c r="F41" s="55"/>
      <x:c r="G41" s="55"/>
      <x:c r="H41" s="55"/>
      <x:c r="I41" s="55"/>
      <x:c r="J41" s="55"/>
      <x:c r="K41" s="55"/>
      <x:c r="L41" s="56" t="str">
        <x:f>IF(OR(E41="",E41=0,H41=""),"",1000*H41/E41)</x:f>
      </x:c>
      <x:c r="M41" s="56" t="str">
        <x:f>IF(OR(E41="",E41=0,I41=""),"",1000*I41/E41)</x:f>
      </x:c>
      <x:c r="N41" s="56" t="str">
        <x:f>IF(OR(E41="",E41=0,K41=""),"",1000*K41/E41)</x:f>
      </x:c>
      <x:c r="O41" s="56" t="str">
        <x:f>IF(OR(E41="",E41=0,J41=""),"",1000*J41/E41)</x:f>
      </x:c>
      <x:c r="P41" s="36"/>
      <x:c r="Q41" s="36"/>
    </x:row>
    <x:row r="42" ht="42" customHeight="1">
      <x:c r="A42" s="29" t="str">
        <x:v>BTB-041</x:v>
      </x:c>
      <x:c r="B42" s="62" t="n">
        <x:v>46363</x:v>
      </x:c>
      <x:c r="C42" s="54"/>
      <x:c r="D42" s="55"/>
      <x:c r="E42" s="55"/>
      <x:c r="F42" s="55"/>
      <x:c r="G42" s="55"/>
      <x:c r="H42" s="55"/>
      <x:c r="I42" s="55"/>
      <x:c r="J42" s="55"/>
      <x:c r="K42" s="55"/>
      <x:c r="L42" s="56" t="str">
        <x:f>IF(OR(E42="",E42=0,H42=""),"",1000*H42/E42)</x:f>
      </x:c>
      <x:c r="M42" s="56" t="str">
        <x:f>IF(OR(E42="",E42=0,I42=""),"",1000*I42/E42)</x:f>
      </x:c>
      <x:c r="N42" s="56" t="str">
        <x:f>IF(OR(E42="",E42=0,K42=""),"",1000*K42/E42)</x:f>
      </x:c>
      <x:c r="O42" s="56" t="str">
        <x:f>IF(OR(E42="",E42=0,J42=""),"",1000*J42/E42)</x:f>
      </x:c>
      <x:c r="P42" s="36"/>
      <x:c r="Q42" s="36"/>
    </x:row>
    <x:row r="43" ht="42" customHeight="1">
      <x:c r="A43" s="29" t="str">
        <x:v>BTB-042</x:v>
      </x:c>
      <x:c r="B43" s="62" t="n">
        <x:v>46364</x:v>
      </x:c>
      <x:c r="C43" s="54"/>
      <x:c r="D43" s="55"/>
      <x:c r="E43" s="55"/>
      <x:c r="F43" s="55"/>
      <x:c r="G43" s="55"/>
      <x:c r="H43" s="55"/>
      <x:c r="I43" s="55"/>
      <x:c r="J43" s="55"/>
      <x:c r="K43" s="55"/>
      <x:c r="L43" s="56" t="str">
        <x:f>IF(OR(E43="",E43=0,H43=""),"",1000*H43/E43)</x:f>
      </x:c>
      <x:c r="M43" s="56" t="str">
        <x:f>IF(OR(E43="",E43=0,I43=""),"",1000*I43/E43)</x:f>
      </x:c>
      <x:c r="N43" s="56" t="str">
        <x:f>IF(OR(E43="",E43=0,K43=""),"",1000*K43/E43)</x:f>
      </x:c>
      <x:c r="O43" s="56" t="str">
        <x:f>IF(OR(E43="",E43=0,J43=""),"",1000*J43/E43)</x:f>
      </x:c>
      <x:c r="P43" s="36"/>
      <x:c r="Q43" s="36"/>
    </x:row>
    <x:row r="44" ht="42" customHeight="1">
      <x:c r="A44" s="29" t="str">
        <x:v>BTB-043</x:v>
      </x:c>
      <x:c r="B44" s="62" t="n">
        <x:v>46365</x:v>
      </x:c>
      <x:c r="C44" s="54"/>
      <x:c r="D44" s="55"/>
      <x:c r="E44" s="55"/>
      <x:c r="F44" s="55"/>
      <x:c r="G44" s="55"/>
      <x:c r="H44" s="55"/>
      <x:c r="I44" s="55"/>
      <x:c r="J44" s="55"/>
      <x:c r="K44" s="55"/>
      <x:c r="L44" s="56" t="str">
        <x:f>IF(OR(E44="",E44=0,H44=""),"",1000*H44/E44)</x:f>
      </x:c>
      <x:c r="M44" s="56" t="str">
        <x:f>IF(OR(E44="",E44=0,I44=""),"",1000*I44/E44)</x:f>
      </x:c>
      <x:c r="N44" s="56" t="str">
        <x:f>IF(OR(E44="",E44=0,K44=""),"",1000*K44/E44)</x:f>
      </x:c>
      <x:c r="O44" s="56" t="str">
        <x:f>IF(OR(E44="",E44=0,J44=""),"",1000*J44/E44)</x:f>
      </x:c>
      <x:c r="P44" s="36"/>
      <x:c r="Q44" s="36"/>
    </x:row>
    <x:row r="45" ht="42" customHeight="1">
      <x:c r="A45" s="29" t="str">
        <x:v>BTB-044</x:v>
      </x:c>
      <x:c r="B45" s="62" t="n">
        <x:v>46366</x:v>
      </x:c>
      <x:c r="C45" s="54"/>
      <x:c r="D45" s="55"/>
      <x:c r="E45" s="55"/>
      <x:c r="F45" s="55"/>
      <x:c r="G45" s="55"/>
      <x:c r="H45" s="55"/>
      <x:c r="I45" s="55"/>
      <x:c r="J45" s="55"/>
      <x:c r="K45" s="55"/>
      <x:c r="L45" s="56" t="str">
        <x:f>IF(OR(E45="",E45=0,H45=""),"",1000*H45/E45)</x:f>
      </x:c>
      <x:c r="M45" s="56" t="str">
        <x:f>IF(OR(E45="",E45=0,I45=""),"",1000*I45/E45)</x:f>
      </x:c>
      <x:c r="N45" s="56" t="str">
        <x:f>IF(OR(E45="",E45=0,K45=""),"",1000*K45/E45)</x:f>
      </x:c>
      <x:c r="O45" s="56" t="str">
        <x:f>IF(OR(E45="",E45=0,J45=""),"",1000*J45/E45)</x:f>
      </x:c>
      <x:c r="P45" s="36"/>
      <x:c r="Q45" s="36"/>
    </x:row>
    <x:row r="46" ht="42" customHeight="1">
      <x:c r="A46" s="29" t="str">
        <x:v>BTB-045</x:v>
      </x:c>
      <x:c r="B46" s="62" t="n">
        <x:v>46367</x:v>
      </x:c>
      <x:c r="C46" s="54"/>
      <x:c r="D46" s="55"/>
      <x:c r="E46" s="55"/>
      <x:c r="F46" s="55"/>
      <x:c r="G46" s="55"/>
      <x:c r="H46" s="55"/>
      <x:c r="I46" s="55"/>
      <x:c r="J46" s="55"/>
      <x:c r="K46" s="55"/>
      <x:c r="L46" s="56" t="str">
        <x:f>IF(OR(E46="",E46=0,H46=""),"",1000*H46/E46)</x:f>
      </x:c>
      <x:c r="M46" s="56" t="str">
        <x:f>IF(OR(E46="",E46=0,I46=""),"",1000*I46/E46)</x:f>
      </x:c>
      <x:c r="N46" s="56" t="str">
        <x:f>IF(OR(E46="",E46=0,K46=""),"",1000*K46/E46)</x:f>
      </x:c>
      <x:c r="O46" s="56" t="str">
        <x:f>IF(OR(E46="",E46=0,J46=""),"",1000*J46/E46)</x:f>
      </x:c>
      <x:c r="P46" s="36"/>
      <x:c r="Q46" s="36"/>
    </x:row>
    <x:row r="47" ht="42" customHeight="1">
      <x:c r="A47" s="29" t="str">
        <x:v>BTB-046</x:v>
      </x:c>
      <x:c r="B47" s="62" t="n">
        <x:v>46368</x:v>
      </x:c>
      <x:c r="C47" s="54"/>
      <x:c r="D47" s="55"/>
      <x:c r="E47" s="55"/>
      <x:c r="F47" s="55"/>
      <x:c r="G47" s="55"/>
      <x:c r="H47" s="55"/>
      <x:c r="I47" s="55"/>
      <x:c r="J47" s="55"/>
      <x:c r="K47" s="55"/>
      <x:c r="L47" s="56" t="str">
        <x:f>IF(OR(E47="",E47=0,H47=""),"",1000*H47/E47)</x:f>
      </x:c>
      <x:c r="M47" s="56" t="str">
        <x:f>IF(OR(E47="",E47=0,I47=""),"",1000*I47/E47)</x:f>
      </x:c>
      <x:c r="N47" s="56" t="str">
        <x:f>IF(OR(E47="",E47=0,K47=""),"",1000*K47/E47)</x:f>
      </x:c>
      <x:c r="O47" s="56" t="str">
        <x:f>IF(OR(E47="",E47=0,J47=""),"",1000*J47/E47)</x:f>
      </x:c>
      <x:c r="P47" s="36"/>
      <x:c r="Q47" s="36"/>
    </x:row>
    <x:row r="48" ht="42" customHeight="1">
      <x:c r="A48" s="29" t="str">
        <x:v>BTB-047</x:v>
      </x:c>
      <x:c r="B48" s="62" t="n">
        <x:v>46369</x:v>
      </x:c>
      <x:c r="C48" s="54"/>
      <x:c r="D48" s="55"/>
      <x:c r="E48" s="55"/>
      <x:c r="F48" s="55"/>
      <x:c r="G48" s="55"/>
      <x:c r="H48" s="55"/>
      <x:c r="I48" s="55"/>
      <x:c r="J48" s="55"/>
      <x:c r="K48" s="55"/>
      <x:c r="L48" s="56" t="str">
        <x:f>IF(OR(E48="",E48=0,H48=""),"",1000*H48/E48)</x:f>
      </x:c>
      <x:c r="M48" s="56" t="str">
        <x:f>IF(OR(E48="",E48=0,I48=""),"",1000*I48/E48)</x:f>
      </x:c>
      <x:c r="N48" s="56" t="str">
        <x:f>IF(OR(E48="",E48=0,K48=""),"",1000*K48/E48)</x:f>
      </x:c>
      <x:c r="O48" s="56" t="str">
        <x:f>IF(OR(E48="",E48=0,J48=""),"",1000*J48/E48)</x:f>
      </x:c>
      <x:c r="P48" s="36"/>
      <x:c r="Q48" s="36"/>
    </x:row>
    <x:row r="49" ht="42" customHeight="1">
      <x:c r="A49" s="29" t="str">
        <x:v>BTB-048</x:v>
      </x:c>
      <x:c r="B49" s="62" t="n">
        <x:v>46370</x:v>
      </x:c>
      <x:c r="C49" s="54"/>
      <x:c r="D49" s="55"/>
      <x:c r="E49" s="55"/>
      <x:c r="F49" s="55"/>
      <x:c r="G49" s="55"/>
      <x:c r="H49" s="55"/>
      <x:c r="I49" s="55"/>
      <x:c r="J49" s="55"/>
      <x:c r="K49" s="55"/>
      <x:c r="L49" s="56" t="str">
        <x:f>IF(OR(E49="",E49=0,H49=""),"",1000*H49/E49)</x:f>
      </x:c>
      <x:c r="M49" s="56" t="str">
        <x:f>IF(OR(E49="",E49=0,I49=""),"",1000*I49/E49)</x:f>
      </x:c>
      <x:c r="N49" s="56" t="str">
        <x:f>IF(OR(E49="",E49=0,K49=""),"",1000*K49/E49)</x:f>
      </x:c>
      <x:c r="O49" s="56" t="str">
        <x:f>IF(OR(E49="",E49=0,J49=""),"",1000*J49/E49)</x:f>
      </x:c>
      <x:c r="P49" s="36"/>
      <x:c r="Q49" s="36"/>
    </x:row>
    <x:row r="50" ht="42" customHeight="1">
      <x:c r="A50" s="29" t="str">
        <x:v>BTB-049</x:v>
      </x:c>
      <x:c r="B50" s="62" t="n">
        <x:v>46371</x:v>
      </x:c>
      <x:c r="C50" s="54"/>
      <x:c r="D50" s="55"/>
      <x:c r="E50" s="55"/>
      <x:c r="F50" s="55"/>
      <x:c r="G50" s="55"/>
      <x:c r="H50" s="55"/>
      <x:c r="I50" s="55"/>
      <x:c r="J50" s="55"/>
      <x:c r="K50" s="55"/>
      <x:c r="L50" s="56" t="str">
        <x:f>IF(OR(E50="",E50=0,H50=""),"",1000*H50/E50)</x:f>
      </x:c>
      <x:c r="M50" s="56" t="str">
        <x:f>IF(OR(E50="",E50=0,I50=""),"",1000*I50/E50)</x:f>
      </x:c>
      <x:c r="N50" s="56" t="str">
        <x:f>IF(OR(E50="",E50=0,K50=""),"",1000*K50/E50)</x:f>
      </x:c>
      <x:c r="O50" s="56" t="str">
        <x:f>IF(OR(E50="",E50=0,J50=""),"",1000*J50/E50)</x:f>
      </x:c>
      <x:c r="P50" s="36"/>
      <x:c r="Q50" s="36"/>
    </x:row>
    <x:row r="51" ht="42" customHeight="1">
      <x:c r="A51" s="29" t="str">
        <x:v>BTB-050</x:v>
      </x:c>
      <x:c r="B51" s="62" t="n">
        <x:v>46372</x:v>
      </x:c>
      <x:c r="C51" s="54"/>
      <x:c r="D51" s="55"/>
      <x:c r="E51" s="55"/>
      <x:c r="F51" s="55"/>
      <x:c r="G51" s="55"/>
      <x:c r="H51" s="55"/>
      <x:c r="I51" s="55"/>
      <x:c r="J51" s="55"/>
      <x:c r="K51" s="55"/>
      <x:c r="L51" s="56" t="str">
        <x:f>IF(OR(E51="",E51=0,H51=""),"",1000*H51/E51)</x:f>
      </x:c>
      <x:c r="M51" s="56" t="str">
        <x:f>IF(OR(E51="",E51=0,I51=""),"",1000*I51/E51)</x:f>
      </x:c>
      <x:c r="N51" s="56" t="str">
        <x:f>IF(OR(E51="",E51=0,K51=""),"",1000*K51/E51)</x:f>
      </x:c>
      <x:c r="O51" s="56" t="str">
        <x:f>IF(OR(E51="",E51=0,J51=""),"",1000*J51/E51)</x:f>
      </x:c>
      <x:c r="P51" s="36"/>
      <x:c r="Q51" s="36"/>
    </x:row>
    <x:row r="52" ht="42" customHeight="1">
      <x:c r="A52" s="29" t="str">
        <x:v>BTB-051</x:v>
      </x:c>
      <x:c r="B52" s="62" t="n">
        <x:v>46373</x:v>
      </x:c>
      <x:c r="C52" s="54"/>
      <x:c r="D52" s="55"/>
      <x:c r="E52" s="55"/>
      <x:c r="F52" s="55"/>
      <x:c r="G52" s="55"/>
      <x:c r="H52" s="55"/>
      <x:c r="I52" s="55"/>
      <x:c r="J52" s="55"/>
      <x:c r="K52" s="55"/>
      <x:c r="L52" s="56" t="str">
        <x:f>IF(OR(E52="",E52=0,H52=""),"",1000*H52/E52)</x:f>
      </x:c>
      <x:c r="M52" s="56" t="str">
        <x:f>IF(OR(E52="",E52=0,I52=""),"",1000*I52/E52)</x:f>
      </x:c>
      <x:c r="N52" s="56" t="str">
        <x:f>IF(OR(E52="",E52=0,K52=""),"",1000*K52/E52)</x:f>
      </x:c>
      <x:c r="O52" s="56" t="str">
        <x:f>IF(OR(E52="",E52=0,J52=""),"",1000*J52/E52)</x:f>
      </x:c>
      <x:c r="P52" s="36"/>
      <x:c r="Q52" s="36"/>
    </x:row>
    <x:row r="53" ht="42" customHeight="1">
      <x:c r="A53" s="29" t="str">
        <x:v>BTB-052</x:v>
      </x:c>
      <x:c r="B53" s="62" t="n">
        <x:v>46374</x:v>
      </x:c>
      <x:c r="C53" s="54"/>
      <x:c r="D53" s="55"/>
      <x:c r="E53" s="55"/>
      <x:c r="F53" s="55"/>
      <x:c r="G53" s="55"/>
      <x:c r="H53" s="55"/>
      <x:c r="I53" s="55"/>
      <x:c r="J53" s="55"/>
      <x:c r="K53" s="55"/>
      <x:c r="L53" s="56" t="str">
        <x:f>IF(OR(E53="",E53=0,H53=""),"",1000*H53/E53)</x:f>
      </x:c>
      <x:c r="M53" s="56" t="str">
        <x:f>IF(OR(E53="",E53=0,I53=""),"",1000*I53/E53)</x:f>
      </x:c>
      <x:c r="N53" s="56" t="str">
        <x:f>IF(OR(E53="",E53=0,K53=""),"",1000*K53/E53)</x:f>
      </x:c>
      <x:c r="O53" s="56" t="str">
        <x:f>IF(OR(E53="",E53=0,J53=""),"",1000*J53/E53)</x:f>
      </x:c>
      <x:c r="P53" s="36"/>
      <x:c r="Q53" s="36"/>
    </x:row>
    <x:row r="54" ht="42" customHeight="1">
      <x:c r="A54" s="29" t="str">
        <x:v>BTB-053</x:v>
      </x:c>
      <x:c r="B54" s="62" t="n">
        <x:v>46375</x:v>
      </x:c>
      <x:c r="C54" s="54"/>
      <x:c r="D54" s="55"/>
      <x:c r="E54" s="55"/>
      <x:c r="F54" s="55"/>
      <x:c r="G54" s="55"/>
      <x:c r="H54" s="55"/>
      <x:c r="I54" s="55"/>
      <x:c r="J54" s="55"/>
      <x:c r="K54" s="55"/>
      <x:c r="L54" s="56" t="str">
        <x:f>IF(OR(E54="",E54=0,H54=""),"",1000*H54/E54)</x:f>
      </x:c>
      <x:c r="M54" s="56" t="str">
        <x:f>IF(OR(E54="",E54=0,I54=""),"",1000*I54/E54)</x:f>
      </x:c>
      <x:c r="N54" s="56" t="str">
        <x:f>IF(OR(E54="",E54=0,K54=""),"",1000*K54/E54)</x:f>
      </x:c>
      <x:c r="O54" s="56" t="str">
        <x:f>IF(OR(E54="",E54=0,J54=""),"",1000*J54/E54)</x:f>
      </x:c>
      <x:c r="P54" s="36"/>
      <x:c r="Q54" s="36"/>
    </x:row>
    <x:row r="55" ht="42" customHeight="1">
      <x:c r="A55" s="29" t="str">
        <x:v>BTB-054</x:v>
      </x:c>
      <x:c r="B55" s="62" t="n">
        <x:v>46376</x:v>
      </x:c>
      <x:c r="C55" s="54"/>
      <x:c r="D55" s="55"/>
      <x:c r="E55" s="55"/>
      <x:c r="F55" s="55"/>
      <x:c r="G55" s="55"/>
      <x:c r="H55" s="55"/>
      <x:c r="I55" s="55"/>
      <x:c r="J55" s="55"/>
      <x:c r="K55" s="55"/>
      <x:c r="L55" s="56" t="str">
        <x:f>IF(OR(E55="",E55=0,H55=""),"",1000*H55/E55)</x:f>
      </x:c>
      <x:c r="M55" s="56" t="str">
        <x:f>IF(OR(E55="",E55=0,I55=""),"",1000*I55/E55)</x:f>
      </x:c>
      <x:c r="N55" s="56" t="str">
        <x:f>IF(OR(E55="",E55=0,K55=""),"",1000*K55/E55)</x:f>
      </x:c>
      <x:c r="O55" s="56" t="str">
        <x:f>IF(OR(E55="",E55=0,J55=""),"",1000*J55/E55)</x:f>
      </x:c>
      <x:c r="P55" s="36"/>
      <x:c r="Q55" s="36"/>
    </x:row>
    <x:row r="56" ht="42" customHeight="1">
      <x:c r="A56" s="29" t="str">
        <x:v>BTB-055</x:v>
      </x:c>
      <x:c r="B56" s="62" t="n">
        <x:v>46377</x:v>
      </x:c>
      <x:c r="C56" s="54"/>
      <x:c r="D56" s="55"/>
      <x:c r="E56" s="55"/>
      <x:c r="F56" s="55"/>
      <x:c r="G56" s="55"/>
      <x:c r="H56" s="55"/>
      <x:c r="I56" s="55"/>
      <x:c r="J56" s="55"/>
      <x:c r="K56" s="55"/>
      <x:c r="L56" s="56" t="str">
        <x:f>IF(OR(E56="",E56=0,H56=""),"",1000*H56/E56)</x:f>
      </x:c>
      <x:c r="M56" s="56" t="str">
        <x:f>IF(OR(E56="",E56=0,I56=""),"",1000*I56/E56)</x:f>
      </x:c>
      <x:c r="N56" s="56" t="str">
        <x:f>IF(OR(E56="",E56=0,K56=""),"",1000*K56/E56)</x:f>
      </x:c>
      <x:c r="O56" s="56" t="str">
        <x:f>IF(OR(E56="",E56=0,J56=""),"",1000*J56/E56)</x:f>
      </x:c>
      <x:c r="P56" s="36"/>
      <x:c r="Q56" s="36"/>
    </x:row>
    <x:row r="57" ht="42" customHeight="1">
      <x:c r="A57" s="29" t="str">
        <x:v>BTB-056</x:v>
      </x:c>
      <x:c r="B57" s="62" t="n">
        <x:v>46378</x:v>
      </x:c>
      <x:c r="C57" s="54"/>
      <x:c r="D57" s="55"/>
      <x:c r="E57" s="55"/>
      <x:c r="F57" s="55"/>
      <x:c r="G57" s="55"/>
      <x:c r="H57" s="55"/>
      <x:c r="I57" s="55"/>
      <x:c r="J57" s="55"/>
      <x:c r="K57" s="55"/>
      <x:c r="L57" s="56" t="str">
        <x:f>IF(OR(E57="",E57=0,H57=""),"",1000*H57/E57)</x:f>
      </x:c>
      <x:c r="M57" s="56" t="str">
        <x:f>IF(OR(E57="",E57=0,I57=""),"",1000*I57/E57)</x:f>
      </x:c>
      <x:c r="N57" s="56" t="str">
        <x:f>IF(OR(E57="",E57=0,K57=""),"",1000*K57/E57)</x:f>
      </x:c>
      <x:c r="O57" s="56" t="str">
        <x:f>IF(OR(E57="",E57=0,J57=""),"",1000*J57/E57)</x:f>
      </x:c>
      <x:c r="P57" s="36"/>
      <x:c r="Q57" s="36"/>
    </x:row>
    <x:row r="58" ht="42" customHeight="1">
      <x:c r="A58" s="29" t="str">
        <x:v>BTB-057</x:v>
      </x:c>
      <x:c r="B58" s="62" t="n">
        <x:v>46379</x:v>
      </x:c>
      <x:c r="C58" s="54"/>
      <x:c r="D58" s="55"/>
      <x:c r="E58" s="55"/>
      <x:c r="F58" s="55"/>
      <x:c r="G58" s="55"/>
      <x:c r="H58" s="55"/>
      <x:c r="I58" s="55"/>
      <x:c r="J58" s="55"/>
      <x:c r="K58" s="55"/>
      <x:c r="L58" s="56" t="str">
        <x:f>IF(OR(E58="",E58=0,H58=""),"",1000*H58/E58)</x:f>
      </x:c>
      <x:c r="M58" s="56" t="str">
        <x:f>IF(OR(E58="",E58=0,I58=""),"",1000*I58/E58)</x:f>
      </x:c>
      <x:c r="N58" s="56" t="str">
        <x:f>IF(OR(E58="",E58=0,K58=""),"",1000*K58/E58)</x:f>
      </x:c>
      <x:c r="O58" s="56" t="str">
        <x:f>IF(OR(E58="",E58=0,J58=""),"",1000*J58/E58)</x:f>
      </x:c>
      <x:c r="P58" s="36"/>
      <x:c r="Q58" s="36"/>
    </x:row>
    <x:row r="59" ht="42" customHeight="1">
      <x:c r="A59" s="29" t="str">
        <x:v>BTB-058</x:v>
      </x:c>
      <x:c r="B59" s="62" t="n">
        <x:v>46380</x:v>
      </x:c>
      <x:c r="C59" s="54"/>
      <x:c r="D59" s="55"/>
      <x:c r="E59" s="55"/>
      <x:c r="F59" s="55"/>
      <x:c r="G59" s="55"/>
      <x:c r="H59" s="55"/>
      <x:c r="I59" s="55"/>
      <x:c r="J59" s="55"/>
      <x:c r="K59" s="55"/>
      <x:c r="L59" s="56" t="str">
        <x:f>IF(OR(E59="",E59=0,H59=""),"",1000*H59/E59)</x:f>
      </x:c>
      <x:c r="M59" s="56" t="str">
        <x:f>IF(OR(E59="",E59=0,I59=""),"",1000*I59/E59)</x:f>
      </x:c>
      <x:c r="N59" s="56" t="str">
        <x:f>IF(OR(E59="",E59=0,K59=""),"",1000*K59/E59)</x:f>
      </x:c>
      <x:c r="O59" s="56" t="str">
        <x:f>IF(OR(E59="",E59=0,J59=""),"",1000*J59/E59)</x:f>
      </x:c>
      <x:c r="P59" s="36"/>
      <x:c r="Q59" s="36"/>
    </x:row>
    <x:row r="60" ht="42" customHeight="1">
      <x:c r="A60" s="29" t="str">
        <x:v>BTB-059</x:v>
      </x:c>
      <x:c r="B60" s="62" t="n">
        <x:v>46381</x:v>
      </x:c>
      <x:c r="C60" s="54"/>
      <x:c r="D60" s="55"/>
      <x:c r="E60" s="55"/>
      <x:c r="F60" s="55"/>
      <x:c r="G60" s="55"/>
      <x:c r="H60" s="55"/>
      <x:c r="I60" s="55"/>
      <x:c r="J60" s="55"/>
      <x:c r="K60" s="55"/>
      <x:c r="L60" s="56" t="str">
        <x:f>IF(OR(E60="",E60=0,H60=""),"",1000*H60/E60)</x:f>
      </x:c>
      <x:c r="M60" s="56" t="str">
        <x:f>IF(OR(E60="",E60=0,I60=""),"",1000*I60/E60)</x:f>
      </x:c>
      <x:c r="N60" s="56" t="str">
        <x:f>IF(OR(E60="",E60=0,K60=""),"",1000*K60/E60)</x:f>
      </x:c>
      <x:c r="O60" s="56" t="str">
        <x:f>IF(OR(E60="",E60=0,J60=""),"",1000*J60/E60)</x:f>
      </x:c>
      <x:c r="P60" s="36"/>
      <x:c r="Q60" s="36"/>
    </x:row>
    <x:row r="61" ht="42" customHeight="1">
      <x:c r="A61" s="29" t="str">
        <x:v>BTB-060</x:v>
      </x:c>
      <x:c r="B61" s="62" t="n">
        <x:v>46382</x:v>
      </x:c>
      <x:c r="C61" s="54"/>
      <x:c r="D61" s="55"/>
      <x:c r="E61" s="55"/>
      <x:c r="F61" s="55"/>
      <x:c r="G61" s="55"/>
      <x:c r="H61" s="55"/>
      <x:c r="I61" s="55"/>
      <x:c r="J61" s="55"/>
      <x:c r="K61" s="55"/>
      <x:c r="L61" s="56" t="str">
        <x:f>IF(OR(E61="",E61=0,H61=""),"",1000*H61/E61)</x:f>
      </x:c>
      <x:c r="M61" s="56" t="str">
        <x:f>IF(OR(E61="",E61=0,I61=""),"",1000*I61/E61)</x:f>
      </x:c>
      <x:c r="N61" s="56" t="str">
        <x:f>IF(OR(E61="",E61=0,K61=""),"",1000*K61/E61)</x:f>
      </x:c>
      <x:c r="O61" s="56" t="str">
        <x:f>IF(OR(E61="",E61=0,J61=""),"",1000*J61/E61)</x:f>
      </x:c>
      <x:c r="P61" s="36"/>
      <x:c r="Q61" s="36"/>
    </x:row>
    <x:row r="62" ht="42" customHeight="1">
      <x:c r="A62" s="29" t="str">
        <x:v>BTB-061</x:v>
      </x:c>
      <x:c r="B62" s="62" t="n">
        <x:v>46383</x:v>
      </x:c>
      <x:c r="C62" s="54"/>
      <x:c r="D62" s="55"/>
      <x:c r="E62" s="55"/>
      <x:c r="F62" s="55"/>
      <x:c r="G62" s="55"/>
      <x:c r="H62" s="55"/>
      <x:c r="I62" s="55"/>
      <x:c r="J62" s="55"/>
      <x:c r="K62" s="55"/>
      <x:c r="L62" s="56" t="str">
        <x:f>IF(OR(E62="",E62=0,H62=""),"",1000*H62/E62)</x:f>
      </x:c>
      <x:c r="M62" s="56" t="str">
        <x:f>IF(OR(E62="",E62=0,I62=""),"",1000*I62/E62)</x:f>
      </x:c>
      <x:c r="N62" s="56" t="str">
        <x:f>IF(OR(E62="",E62=0,K62=""),"",1000*K62/E62)</x:f>
      </x:c>
      <x:c r="O62" s="56" t="str">
        <x:f>IF(OR(E62="",E62=0,J62=""),"",1000*J62/E62)</x:f>
      </x:c>
      <x:c r="P62" s="36"/>
      <x:c r="Q62" s="36"/>
    </x:row>
    <x:row r="63" ht="42" customHeight="1">
      <x:c r="A63" s="29" t="str">
        <x:v>BTB-062</x:v>
      </x:c>
      <x:c r="B63" s="62" t="n">
        <x:v>46384</x:v>
      </x:c>
      <x:c r="C63" s="54"/>
      <x:c r="D63" s="55"/>
      <x:c r="E63" s="55"/>
      <x:c r="F63" s="55"/>
      <x:c r="G63" s="55"/>
      <x:c r="H63" s="55"/>
      <x:c r="I63" s="55"/>
      <x:c r="J63" s="55"/>
      <x:c r="K63" s="55"/>
      <x:c r="L63" s="56" t="str">
        <x:f>IF(OR(E63="",E63=0,H63=""),"",1000*H63/E63)</x:f>
      </x:c>
      <x:c r="M63" s="56" t="str">
        <x:f>IF(OR(E63="",E63=0,I63=""),"",1000*I63/E63)</x:f>
      </x:c>
      <x:c r="N63" s="56" t="str">
        <x:f>IF(OR(E63="",E63=0,K63=""),"",1000*K63/E63)</x:f>
      </x:c>
      <x:c r="O63" s="56" t="str">
        <x:f>IF(OR(E63="",E63=0,J63=""),"",1000*J63/E63)</x:f>
      </x:c>
      <x:c r="P63" s="36"/>
      <x:c r="Q63" s="36"/>
    </x:row>
    <x:row r="64" ht="42" customHeight="1">
      <x:c r="A64" s="29" t="str">
        <x:v>BTB-063</x:v>
      </x:c>
      <x:c r="B64" s="62" t="n">
        <x:v>46385</x:v>
      </x:c>
      <x:c r="C64" s="54"/>
      <x:c r="D64" s="55"/>
      <x:c r="E64" s="55"/>
      <x:c r="F64" s="55"/>
      <x:c r="G64" s="55"/>
      <x:c r="H64" s="55"/>
      <x:c r="I64" s="55"/>
      <x:c r="J64" s="55"/>
      <x:c r="K64" s="55"/>
      <x:c r="L64" s="56" t="str">
        <x:f>IF(OR(E64="",E64=0,H64=""),"",1000*H64/E64)</x:f>
      </x:c>
      <x:c r="M64" s="56" t="str">
        <x:f>IF(OR(E64="",E64=0,I64=""),"",1000*I64/E64)</x:f>
      </x:c>
      <x:c r="N64" s="56" t="str">
        <x:f>IF(OR(E64="",E64=0,K64=""),"",1000*K64/E64)</x:f>
      </x:c>
      <x:c r="O64" s="56" t="str">
        <x:f>IF(OR(E64="",E64=0,J64=""),"",1000*J64/E64)</x:f>
      </x:c>
      <x:c r="P64" s="36"/>
      <x:c r="Q64" s="36"/>
    </x:row>
    <x:row r="65" ht="42" customHeight="1">
      <x:c r="A65" s="29" t="str">
        <x:v>BTB-064</x:v>
      </x:c>
      <x:c r="B65" s="62" t="n">
        <x:v>46386</x:v>
      </x:c>
      <x:c r="C65" s="54"/>
      <x:c r="D65" s="55"/>
      <x:c r="E65" s="55"/>
      <x:c r="F65" s="55"/>
      <x:c r="G65" s="55"/>
      <x:c r="H65" s="55"/>
      <x:c r="I65" s="55"/>
      <x:c r="J65" s="55"/>
      <x:c r="K65" s="55"/>
      <x:c r="L65" s="56" t="str">
        <x:f>IF(OR(E65="",E65=0,H65=""),"",1000*H65/E65)</x:f>
      </x:c>
      <x:c r="M65" s="56" t="str">
        <x:f>IF(OR(E65="",E65=0,I65=""),"",1000*I65/E65)</x:f>
      </x:c>
      <x:c r="N65" s="56" t="str">
        <x:f>IF(OR(E65="",E65=0,K65=""),"",1000*K65/E65)</x:f>
      </x:c>
      <x:c r="O65" s="56" t="str">
        <x:f>IF(OR(E65="",E65=0,J65=""),"",1000*J65/E65)</x:f>
      </x:c>
      <x:c r="P65" s="36"/>
      <x:c r="Q65" s="36"/>
    </x:row>
    <x:row r="66" ht="42" customHeight="1">
      <x:c r="A66" s="29" t="str">
        <x:v>BTB-065</x:v>
      </x:c>
      <x:c r="B66" s="62" t="n">
        <x:v>46387</x:v>
      </x:c>
      <x:c r="C66" s="54"/>
      <x:c r="D66" s="55"/>
      <x:c r="E66" s="55"/>
      <x:c r="F66" s="55"/>
      <x:c r="G66" s="55"/>
      <x:c r="H66" s="55"/>
      <x:c r="I66" s="55"/>
      <x:c r="J66" s="55"/>
      <x:c r="K66" s="55"/>
      <x:c r="L66" s="56" t="str">
        <x:f>IF(OR(E66="",E66=0,H66=""),"",1000*H66/E66)</x:f>
      </x:c>
      <x:c r="M66" s="56" t="str">
        <x:f>IF(OR(E66="",E66=0,I66=""),"",1000*I66/E66)</x:f>
      </x:c>
      <x:c r="N66" s="56" t="str">
        <x:f>IF(OR(E66="",E66=0,K66=""),"",1000*K66/E66)</x:f>
      </x:c>
      <x:c r="O66" s="56" t="str">
        <x:f>IF(OR(E66="",E66=0,J66=""),"",1000*J66/E66)</x:f>
      </x:c>
      <x:c r="P66" s="36"/>
      <x:c r="Q66" s="36"/>
    </x:row>
    <x:row r="67" ht="42" customHeight="1">
      <x:c r="A67" s="29" t="str">
        <x:v>BTB-066</x:v>
      </x:c>
      <x:c r="B67" s="62" t="n">
        <x:v>46388</x:v>
      </x:c>
      <x:c r="C67" s="54"/>
      <x:c r="D67" s="55"/>
      <x:c r="E67" s="55"/>
      <x:c r="F67" s="55"/>
      <x:c r="G67" s="55"/>
      <x:c r="H67" s="55"/>
      <x:c r="I67" s="55"/>
      <x:c r="J67" s="55"/>
      <x:c r="K67" s="55"/>
      <x:c r="L67" s="56" t="str">
        <x:f>IF(OR(E67="",E67=0,H67=""),"",1000*H67/E67)</x:f>
      </x:c>
      <x:c r="M67" s="56" t="str">
        <x:f>IF(OR(E67="",E67=0,I67=""),"",1000*I67/E67)</x:f>
      </x:c>
      <x:c r="N67" s="56" t="str">
        <x:f>IF(OR(E67="",E67=0,K67=""),"",1000*K67/E67)</x:f>
      </x:c>
      <x:c r="O67" s="56" t="str">
        <x:f>IF(OR(E67="",E67=0,J67=""),"",1000*J67/E67)</x:f>
      </x:c>
      <x:c r="P67" s="36"/>
      <x:c r="Q67" s="36"/>
    </x:row>
    <x:row r="68" ht="42" customHeight="1">
      <x:c r="A68" s="29" t="str">
        <x:v>BTB-067</x:v>
      </x:c>
      <x:c r="B68" s="62" t="n">
        <x:v>46389</x:v>
      </x:c>
      <x:c r="C68" s="54"/>
      <x:c r="D68" s="55"/>
      <x:c r="E68" s="55"/>
      <x:c r="F68" s="55"/>
      <x:c r="G68" s="55"/>
      <x:c r="H68" s="55"/>
      <x:c r="I68" s="55"/>
      <x:c r="J68" s="55"/>
      <x:c r="K68" s="55"/>
      <x:c r="L68" s="56" t="str">
        <x:f>IF(OR(E68="",E68=0,H68=""),"",1000*H68/E68)</x:f>
      </x:c>
      <x:c r="M68" s="56" t="str">
        <x:f>IF(OR(E68="",E68=0,I68=""),"",1000*I68/E68)</x:f>
      </x:c>
      <x:c r="N68" s="56" t="str">
        <x:f>IF(OR(E68="",E68=0,K68=""),"",1000*K68/E68)</x:f>
      </x:c>
      <x:c r="O68" s="56" t="str">
        <x:f>IF(OR(E68="",E68=0,J68=""),"",1000*J68/E68)</x:f>
      </x:c>
      <x:c r="P68" s="36"/>
      <x:c r="Q68" s="36"/>
    </x:row>
    <x:row r="69" ht="42" customHeight="1">
      <x:c r="A69" s="29" t="str">
        <x:v>BTB-068</x:v>
      </x:c>
      <x:c r="B69" s="62" t="n">
        <x:v>46390</x:v>
      </x:c>
      <x:c r="C69" s="54"/>
      <x:c r="D69" s="55"/>
      <x:c r="E69" s="55"/>
      <x:c r="F69" s="55"/>
      <x:c r="G69" s="55"/>
      <x:c r="H69" s="55"/>
      <x:c r="I69" s="55"/>
      <x:c r="J69" s="55"/>
      <x:c r="K69" s="55"/>
      <x:c r="L69" s="56" t="str">
        <x:f>IF(OR(E69="",E69=0,H69=""),"",1000*H69/E69)</x:f>
      </x:c>
      <x:c r="M69" s="56" t="str">
        <x:f>IF(OR(E69="",E69=0,I69=""),"",1000*I69/E69)</x:f>
      </x:c>
      <x:c r="N69" s="56" t="str">
        <x:f>IF(OR(E69="",E69=0,K69=""),"",1000*K69/E69)</x:f>
      </x:c>
      <x:c r="O69" s="56" t="str">
        <x:f>IF(OR(E69="",E69=0,J69=""),"",1000*J69/E69)</x:f>
      </x:c>
      <x:c r="P69" s="36"/>
      <x:c r="Q69" s="36"/>
    </x:row>
    <x:row r="70" ht="42" customHeight="1">
      <x:c r="A70" s="29" t="str">
        <x:v>BTB-069</x:v>
      </x:c>
      <x:c r="B70" s="62" t="n">
        <x:v>46391</x:v>
      </x:c>
      <x:c r="C70" s="54"/>
      <x:c r="D70" s="55"/>
      <x:c r="E70" s="55"/>
      <x:c r="F70" s="55"/>
      <x:c r="G70" s="55"/>
      <x:c r="H70" s="55"/>
      <x:c r="I70" s="55"/>
      <x:c r="J70" s="55"/>
      <x:c r="K70" s="55"/>
      <x:c r="L70" s="56" t="str">
        <x:f>IF(OR(E70="",E70=0,H70=""),"",1000*H70/E70)</x:f>
      </x:c>
      <x:c r="M70" s="56" t="str">
        <x:f>IF(OR(E70="",E70=0,I70=""),"",1000*I70/E70)</x:f>
      </x:c>
      <x:c r="N70" s="56" t="str">
        <x:f>IF(OR(E70="",E70=0,K70=""),"",1000*K70/E70)</x:f>
      </x:c>
      <x:c r="O70" s="56" t="str">
        <x:f>IF(OR(E70="",E70=0,J70=""),"",1000*J70/E70)</x:f>
      </x:c>
      <x:c r="P70" s="36"/>
      <x:c r="Q70" s="36"/>
    </x:row>
    <x:row r="71" ht="42" customHeight="1">
      <x:c r="A71" s="29" t="str">
        <x:v>BTB-070</x:v>
      </x:c>
      <x:c r="B71" s="62" t="n">
        <x:v>46392</x:v>
      </x:c>
      <x:c r="C71" s="54"/>
      <x:c r="D71" s="55"/>
      <x:c r="E71" s="55"/>
      <x:c r="F71" s="55"/>
      <x:c r="G71" s="55"/>
      <x:c r="H71" s="55"/>
      <x:c r="I71" s="55"/>
      <x:c r="J71" s="55"/>
      <x:c r="K71" s="55"/>
      <x:c r="L71" s="56" t="str">
        <x:f>IF(OR(E71="",E71=0,H71=""),"",1000*H71/E71)</x:f>
      </x:c>
      <x:c r="M71" s="56" t="str">
        <x:f>IF(OR(E71="",E71=0,I71=""),"",1000*I71/E71)</x:f>
      </x:c>
      <x:c r="N71" s="56" t="str">
        <x:f>IF(OR(E71="",E71=0,K71=""),"",1000*K71/E71)</x:f>
      </x:c>
      <x:c r="O71" s="56" t="str">
        <x:f>IF(OR(E71="",E71=0,J71=""),"",1000*J71/E71)</x:f>
      </x:c>
      <x:c r="P71" s="36"/>
      <x:c r="Q71" s="36"/>
    </x:row>
    <x:row r="72" ht="42" customHeight="1">
      <x:c r="A72" s="29" t="str">
        <x:v>BTB-071</x:v>
      </x:c>
      <x:c r="B72" s="62" t="n">
        <x:v>46393</x:v>
      </x:c>
      <x:c r="C72" s="54"/>
      <x:c r="D72" s="55"/>
      <x:c r="E72" s="55"/>
      <x:c r="F72" s="55"/>
      <x:c r="G72" s="55"/>
      <x:c r="H72" s="55"/>
      <x:c r="I72" s="55"/>
      <x:c r="J72" s="55"/>
      <x:c r="K72" s="55"/>
      <x:c r="L72" s="56" t="str">
        <x:f>IF(OR(E72="",E72=0,H72=""),"",1000*H72/E72)</x:f>
      </x:c>
      <x:c r="M72" s="56" t="str">
        <x:f>IF(OR(E72="",E72=0,I72=""),"",1000*I72/E72)</x:f>
      </x:c>
      <x:c r="N72" s="56" t="str">
        <x:f>IF(OR(E72="",E72=0,K72=""),"",1000*K72/E72)</x:f>
      </x:c>
      <x:c r="O72" s="56" t="str">
        <x:f>IF(OR(E72="",E72=0,J72=""),"",1000*J72/E72)</x:f>
      </x:c>
      <x:c r="P72" s="36"/>
      <x:c r="Q72" s="36"/>
    </x:row>
    <x:row r="73" ht="42" customHeight="1">
      <x:c r="A73" s="29" t="str">
        <x:v>BTB-072</x:v>
      </x:c>
      <x:c r="B73" s="62" t="n">
        <x:v>46394</x:v>
      </x:c>
      <x:c r="C73" s="54"/>
      <x:c r="D73" s="55"/>
      <x:c r="E73" s="55"/>
      <x:c r="F73" s="55"/>
      <x:c r="G73" s="55"/>
      <x:c r="H73" s="55"/>
      <x:c r="I73" s="55"/>
      <x:c r="J73" s="55"/>
      <x:c r="K73" s="55"/>
      <x:c r="L73" s="56" t="str">
        <x:f>IF(OR(E73="",E73=0,H73=""),"",1000*H73/E73)</x:f>
      </x:c>
      <x:c r="M73" s="56" t="str">
        <x:f>IF(OR(E73="",E73=0,I73=""),"",1000*I73/E73)</x:f>
      </x:c>
      <x:c r="N73" s="56" t="str">
        <x:f>IF(OR(E73="",E73=0,K73=""),"",1000*K73/E73)</x:f>
      </x:c>
      <x:c r="O73" s="56" t="str">
        <x:f>IF(OR(E73="",E73=0,J73=""),"",1000*J73/E73)</x:f>
      </x:c>
      <x:c r="P73" s="36"/>
      <x:c r="Q73" s="36"/>
    </x:row>
    <x:row r="74" ht="42" customHeight="1">
      <x:c r="A74" s="29" t="str">
        <x:v>BTB-073</x:v>
      </x:c>
      <x:c r="B74" s="62" t="n">
        <x:v>46395</x:v>
      </x:c>
      <x:c r="C74" s="54"/>
      <x:c r="D74" s="55"/>
      <x:c r="E74" s="55"/>
      <x:c r="F74" s="55"/>
      <x:c r="G74" s="55"/>
      <x:c r="H74" s="55"/>
      <x:c r="I74" s="55"/>
      <x:c r="J74" s="55"/>
      <x:c r="K74" s="55"/>
      <x:c r="L74" s="56" t="str">
        <x:f>IF(OR(E74="",E74=0,H74=""),"",1000*H74/E74)</x:f>
      </x:c>
      <x:c r="M74" s="56" t="str">
        <x:f>IF(OR(E74="",E74=0,I74=""),"",1000*I74/E74)</x:f>
      </x:c>
      <x:c r="N74" s="56" t="str">
        <x:f>IF(OR(E74="",E74=0,K74=""),"",1000*K74/E74)</x:f>
      </x:c>
      <x:c r="O74" s="56" t="str">
        <x:f>IF(OR(E74="",E74=0,J74=""),"",1000*J74/E74)</x:f>
      </x:c>
      <x:c r="P74" s="36"/>
      <x:c r="Q74" s="36"/>
    </x:row>
    <x:row r="75" ht="42" customHeight="1">
      <x:c r="A75" s="29" t="str">
        <x:v>BTB-074</x:v>
      </x:c>
      <x:c r="B75" s="62" t="n">
        <x:v>46396</x:v>
      </x:c>
      <x:c r="C75" s="54"/>
      <x:c r="D75" s="55"/>
      <x:c r="E75" s="55"/>
      <x:c r="F75" s="55"/>
      <x:c r="G75" s="55"/>
      <x:c r="H75" s="55"/>
      <x:c r="I75" s="55"/>
      <x:c r="J75" s="55"/>
      <x:c r="K75" s="55"/>
      <x:c r="L75" s="56" t="str">
        <x:f>IF(OR(E75="",E75=0,H75=""),"",1000*H75/E75)</x:f>
      </x:c>
      <x:c r="M75" s="56" t="str">
        <x:f>IF(OR(E75="",E75=0,I75=""),"",1000*I75/E75)</x:f>
      </x:c>
      <x:c r="N75" s="56" t="str">
        <x:f>IF(OR(E75="",E75=0,K75=""),"",1000*K75/E75)</x:f>
      </x:c>
      <x:c r="O75" s="56" t="str">
        <x:f>IF(OR(E75="",E75=0,J75=""),"",1000*J75/E75)</x:f>
      </x:c>
      <x:c r="P75" s="36"/>
      <x:c r="Q75" s="36"/>
    </x:row>
    <x:row r="76" ht="42" customHeight="1">
      <x:c r="A76" s="29" t="str">
        <x:v>BTB-075</x:v>
      </x:c>
      <x:c r="B76" s="62" t="n">
        <x:v>46397</x:v>
      </x:c>
      <x:c r="C76" s="54"/>
      <x:c r="D76" s="55"/>
      <x:c r="E76" s="55"/>
      <x:c r="F76" s="55"/>
      <x:c r="G76" s="55"/>
      <x:c r="H76" s="55"/>
      <x:c r="I76" s="55"/>
      <x:c r="J76" s="55"/>
      <x:c r="K76" s="55"/>
      <x:c r="L76" s="56" t="str">
        <x:f>IF(OR(E76="",E76=0,H76=""),"",1000*H76/E76)</x:f>
      </x:c>
      <x:c r="M76" s="56" t="str">
        <x:f>IF(OR(E76="",E76=0,I76=""),"",1000*I76/E76)</x:f>
      </x:c>
      <x:c r="N76" s="56" t="str">
        <x:f>IF(OR(E76="",E76=0,K76=""),"",1000*K76/E76)</x:f>
      </x:c>
      <x:c r="O76" s="56" t="str">
        <x:f>IF(OR(E76="",E76=0,J76=""),"",1000*J76/E76)</x:f>
      </x:c>
      <x:c r="P76" s="36"/>
      <x:c r="Q76" s="36"/>
    </x:row>
    <x:row r="77" ht="42" customHeight="1">
      <x:c r="A77" s="29" t="str">
        <x:v>BTB-076</x:v>
      </x:c>
      <x:c r="B77" s="62" t="n">
        <x:v>46398</x:v>
      </x:c>
      <x:c r="C77" s="54"/>
      <x:c r="D77" s="55"/>
      <x:c r="E77" s="55"/>
      <x:c r="F77" s="55"/>
      <x:c r="G77" s="55"/>
      <x:c r="H77" s="55"/>
      <x:c r="I77" s="55"/>
      <x:c r="J77" s="55"/>
      <x:c r="K77" s="55"/>
      <x:c r="L77" s="56" t="str">
        <x:f>IF(OR(E77="",E77=0,H77=""),"",1000*H77/E77)</x:f>
      </x:c>
      <x:c r="M77" s="56" t="str">
        <x:f>IF(OR(E77="",E77=0,I77=""),"",1000*I77/E77)</x:f>
      </x:c>
      <x:c r="N77" s="56" t="str">
        <x:f>IF(OR(E77="",E77=0,K77=""),"",1000*K77/E77)</x:f>
      </x:c>
      <x:c r="O77" s="56" t="str">
        <x:f>IF(OR(E77="",E77=0,J77=""),"",1000*J77/E77)</x:f>
      </x:c>
      <x:c r="P77" s="36"/>
      <x:c r="Q77" s="36"/>
    </x:row>
    <x:row r="78" ht="42" customHeight="1">
      <x:c r="A78" s="29" t="str">
        <x:v>BTB-077</x:v>
      </x:c>
      <x:c r="B78" s="62" t="n">
        <x:v>46399</x:v>
      </x:c>
      <x:c r="C78" s="54"/>
      <x:c r="D78" s="55"/>
      <x:c r="E78" s="55"/>
      <x:c r="F78" s="55"/>
      <x:c r="G78" s="55"/>
      <x:c r="H78" s="55"/>
      <x:c r="I78" s="55"/>
      <x:c r="J78" s="55"/>
      <x:c r="K78" s="55"/>
      <x:c r="L78" s="56" t="str">
        <x:f>IF(OR(E78="",E78=0,H78=""),"",1000*H78/E78)</x:f>
      </x:c>
      <x:c r="M78" s="56" t="str">
        <x:f>IF(OR(E78="",E78=0,I78=""),"",1000*I78/E78)</x:f>
      </x:c>
      <x:c r="N78" s="56" t="str">
        <x:f>IF(OR(E78="",E78=0,K78=""),"",1000*K78/E78)</x:f>
      </x:c>
      <x:c r="O78" s="56" t="str">
        <x:f>IF(OR(E78="",E78=0,J78=""),"",1000*J78/E78)</x:f>
      </x:c>
      <x:c r="P78" s="36"/>
      <x:c r="Q78" s="36"/>
    </x:row>
    <x:row r="79" ht="42" customHeight="1">
      <x:c r="A79" s="29" t="str">
        <x:v>BTB-078</x:v>
      </x:c>
      <x:c r="B79" s="62" t="n">
        <x:v>46400</x:v>
      </x:c>
      <x:c r="C79" s="54"/>
      <x:c r="D79" s="55"/>
      <x:c r="E79" s="55"/>
      <x:c r="F79" s="55"/>
      <x:c r="G79" s="55"/>
      <x:c r="H79" s="55"/>
      <x:c r="I79" s="55"/>
      <x:c r="J79" s="55"/>
      <x:c r="K79" s="55"/>
      <x:c r="L79" s="56" t="str">
        <x:f>IF(OR(E79="",E79=0,H79=""),"",1000*H79/E79)</x:f>
      </x:c>
      <x:c r="M79" s="56" t="str">
        <x:f>IF(OR(E79="",E79=0,I79=""),"",1000*I79/E79)</x:f>
      </x:c>
      <x:c r="N79" s="56" t="str">
        <x:f>IF(OR(E79="",E79=0,K79=""),"",1000*K79/E79)</x:f>
      </x:c>
      <x:c r="O79" s="56" t="str">
        <x:f>IF(OR(E79="",E79=0,J79=""),"",1000*J79/E79)</x:f>
      </x:c>
      <x:c r="P79" s="36"/>
      <x:c r="Q79" s="36"/>
    </x:row>
    <x:row r="80" ht="42" customHeight="1">
      <x:c r="A80" s="29" t="str">
        <x:v>BTB-079</x:v>
      </x:c>
      <x:c r="B80" s="62" t="n">
        <x:v>46401</x:v>
      </x:c>
      <x:c r="C80" s="54"/>
      <x:c r="D80" s="55"/>
      <x:c r="E80" s="55"/>
      <x:c r="F80" s="55"/>
      <x:c r="G80" s="55"/>
      <x:c r="H80" s="55"/>
      <x:c r="I80" s="55"/>
      <x:c r="J80" s="55"/>
      <x:c r="K80" s="55"/>
      <x:c r="L80" s="56" t="str">
        <x:f>IF(OR(E80="",E80=0,H80=""),"",1000*H80/E80)</x:f>
      </x:c>
      <x:c r="M80" s="56" t="str">
        <x:f>IF(OR(E80="",E80=0,I80=""),"",1000*I80/E80)</x:f>
      </x:c>
      <x:c r="N80" s="56" t="str">
        <x:f>IF(OR(E80="",E80=0,K80=""),"",1000*K80/E80)</x:f>
      </x:c>
      <x:c r="O80" s="56" t="str">
        <x:f>IF(OR(E80="",E80=0,J80=""),"",1000*J80/E80)</x:f>
      </x:c>
      <x:c r="P80" s="36"/>
      <x:c r="Q80" s="36"/>
    </x:row>
    <x:row r="81" ht="42" customHeight="1">
      <x:c r="A81" s="29" t="str">
        <x:v>BTB-080</x:v>
      </x:c>
      <x:c r="B81" s="62" t="n">
        <x:v>46402</x:v>
      </x:c>
      <x:c r="C81" s="54"/>
      <x:c r="D81" s="55"/>
      <x:c r="E81" s="55"/>
      <x:c r="F81" s="55"/>
      <x:c r="G81" s="55"/>
      <x:c r="H81" s="55"/>
      <x:c r="I81" s="55"/>
      <x:c r="J81" s="55"/>
      <x:c r="K81" s="55"/>
      <x:c r="L81" s="56" t="str">
        <x:f>IF(OR(E81="",E81=0,H81=""),"",1000*H81/E81)</x:f>
      </x:c>
      <x:c r="M81" s="56" t="str">
        <x:f>IF(OR(E81="",E81=0,I81=""),"",1000*I81/E81)</x:f>
      </x:c>
      <x:c r="N81" s="56" t="str">
        <x:f>IF(OR(E81="",E81=0,K81=""),"",1000*K81/E81)</x:f>
      </x:c>
      <x:c r="O81" s="56" t="str">
        <x:f>IF(OR(E81="",E81=0,J81=""),"",1000*J81/E81)</x:f>
      </x:c>
      <x:c r="P81" s="36"/>
      <x:c r="Q81" s="36"/>
    </x:row>
    <x:row r="82" ht="42" customHeight="1">
      <x:c r="A82" s="29" t="str">
        <x:v>BTB-081</x:v>
      </x:c>
      <x:c r="B82" s="62" t="n">
        <x:v>46403</x:v>
      </x:c>
      <x:c r="C82" s="54"/>
      <x:c r="D82" s="55"/>
      <x:c r="E82" s="55"/>
      <x:c r="F82" s="55"/>
      <x:c r="G82" s="55"/>
      <x:c r="H82" s="55"/>
      <x:c r="I82" s="55"/>
      <x:c r="J82" s="55"/>
      <x:c r="K82" s="55"/>
      <x:c r="L82" s="56" t="str">
        <x:f>IF(OR(E82="",E82=0,H82=""),"",1000*H82/E82)</x:f>
      </x:c>
      <x:c r="M82" s="56" t="str">
        <x:f>IF(OR(E82="",E82=0,I82=""),"",1000*I82/E82)</x:f>
      </x:c>
      <x:c r="N82" s="56" t="str">
        <x:f>IF(OR(E82="",E82=0,K82=""),"",1000*K82/E82)</x:f>
      </x:c>
      <x:c r="O82" s="56" t="str">
        <x:f>IF(OR(E82="",E82=0,J82=""),"",1000*J82/E82)</x:f>
      </x:c>
      <x:c r="P82" s="36"/>
      <x:c r="Q82" s="36"/>
    </x:row>
    <x:row r="83" ht="42" customHeight="1">
      <x:c r="A83" s="29" t="str">
        <x:v>BTB-082</x:v>
      </x:c>
      <x:c r="B83" s="62" t="n">
        <x:v>46404</x:v>
      </x:c>
      <x:c r="C83" s="54"/>
      <x:c r="D83" s="55"/>
      <x:c r="E83" s="55"/>
      <x:c r="F83" s="55"/>
      <x:c r="G83" s="55"/>
      <x:c r="H83" s="55"/>
      <x:c r="I83" s="55"/>
      <x:c r="J83" s="55"/>
      <x:c r="K83" s="55"/>
      <x:c r="L83" s="56" t="str">
        <x:f>IF(OR(E83="",E83=0,H83=""),"",1000*H83/E83)</x:f>
      </x:c>
      <x:c r="M83" s="56" t="str">
        <x:f>IF(OR(E83="",E83=0,I83=""),"",1000*I83/E83)</x:f>
      </x:c>
      <x:c r="N83" s="56" t="str">
        <x:f>IF(OR(E83="",E83=0,K83=""),"",1000*K83/E83)</x:f>
      </x:c>
      <x:c r="O83" s="56" t="str">
        <x:f>IF(OR(E83="",E83=0,J83=""),"",1000*J83/E83)</x:f>
      </x:c>
      <x:c r="P83" s="36"/>
      <x:c r="Q83" s="36"/>
    </x:row>
    <x:row r="84" ht="42" customHeight="1">
      <x:c r="A84" s="29" t="str">
        <x:v>BTB-083</x:v>
      </x:c>
      <x:c r="B84" s="62" t="n">
        <x:v>46405</x:v>
      </x:c>
      <x:c r="C84" s="54"/>
      <x:c r="D84" s="55"/>
      <x:c r="E84" s="55"/>
      <x:c r="F84" s="55"/>
      <x:c r="G84" s="55"/>
      <x:c r="H84" s="55"/>
      <x:c r="I84" s="55"/>
      <x:c r="J84" s="55"/>
      <x:c r="K84" s="55"/>
      <x:c r="L84" s="56" t="str">
        <x:f>IF(OR(E84="",E84=0,H84=""),"",1000*H84/E84)</x:f>
      </x:c>
      <x:c r="M84" s="56" t="str">
        <x:f>IF(OR(E84="",E84=0,I84=""),"",1000*I84/E84)</x:f>
      </x:c>
      <x:c r="N84" s="56" t="str">
        <x:f>IF(OR(E84="",E84=0,K84=""),"",1000*K84/E84)</x:f>
      </x:c>
      <x:c r="O84" s="56" t="str">
        <x:f>IF(OR(E84="",E84=0,J84=""),"",1000*J84/E84)</x:f>
      </x:c>
      <x:c r="P84" s="36"/>
      <x:c r="Q84" s="36"/>
    </x:row>
    <x:row r="85" ht="42" customHeight="1">
      <x:c r="A85" s="29" t="str">
        <x:v>BTB-084</x:v>
      </x:c>
      <x:c r="B85" s="62" t="n">
        <x:v>46406</x:v>
      </x:c>
      <x:c r="C85" s="54"/>
      <x:c r="D85" s="55"/>
      <x:c r="E85" s="55"/>
      <x:c r="F85" s="55"/>
      <x:c r="G85" s="55"/>
      <x:c r="H85" s="55"/>
      <x:c r="I85" s="55"/>
      <x:c r="J85" s="55"/>
      <x:c r="K85" s="55"/>
      <x:c r="L85" s="56" t="str">
        <x:f>IF(OR(E85="",E85=0,H85=""),"",1000*H85/E85)</x:f>
      </x:c>
      <x:c r="M85" s="56" t="str">
        <x:f>IF(OR(E85="",E85=0,I85=""),"",1000*I85/E85)</x:f>
      </x:c>
      <x:c r="N85" s="56" t="str">
        <x:f>IF(OR(E85="",E85=0,K85=""),"",1000*K85/E85)</x:f>
      </x:c>
      <x:c r="O85" s="56" t="str">
        <x:f>IF(OR(E85="",E85=0,J85=""),"",1000*J85/E85)</x:f>
      </x:c>
      <x:c r="P85" s="36"/>
      <x:c r="Q85" s="36"/>
    </x:row>
    <x:row r="86" ht="42" customHeight="1">
      <x:c r="A86" s="29" t="str">
        <x:v>BTB-085</x:v>
      </x:c>
      <x:c r="B86" s="62" t="n">
        <x:v>46407</x:v>
      </x:c>
      <x:c r="C86" s="54"/>
      <x:c r="D86" s="55"/>
      <x:c r="E86" s="55"/>
      <x:c r="F86" s="55"/>
      <x:c r="G86" s="55"/>
      <x:c r="H86" s="55"/>
      <x:c r="I86" s="55"/>
      <x:c r="J86" s="55"/>
      <x:c r="K86" s="55"/>
      <x:c r="L86" s="56" t="str">
        <x:f>IF(OR(E86="",E86=0,H86=""),"",1000*H86/E86)</x:f>
      </x:c>
      <x:c r="M86" s="56" t="str">
        <x:f>IF(OR(E86="",E86=0,I86=""),"",1000*I86/E86)</x:f>
      </x:c>
      <x:c r="N86" s="56" t="str">
        <x:f>IF(OR(E86="",E86=0,K86=""),"",1000*K86/E86)</x:f>
      </x:c>
      <x:c r="O86" s="56" t="str">
        <x:f>IF(OR(E86="",E86=0,J86=""),"",1000*J86/E86)</x:f>
      </x:c>
      <x:c r="P86" s="36"/>
      <x:c r="Q86" s="36"/>
    </x:row>
    <x:row r="87" ht="42" customHeight="1">
      <x:c r="A87" s="29" t="str">
        <x:v>BTB-086</x:v>
      </x:c>
      <x:c r="B87" s="62" t="n">
        <x:v>46408</x:v>
      </x:c>
      <x:c r="C87" s="54"/>
      <x:c r="D87" s="55"/>
      <x:c r="E87" s="55"/>
      <x:c r="F87" s="55"/>
      <x:c r="G87" s="55"/>
      <x:c r="H87" s="55"/>
      <x:c r="I87" s="55"/>
      <x:c r="J87" s="55"/>
      <x:c r="K87" s="55"/>
      <x:c r="L87" s="56" t="str">
        <x:f>IF(OR(E87="",E87=0,H87=""),"",1000*H87/E87)</x:f>
      </x:c>
      <x:c r="M87" s="56" t="str">
        <x:f>IF(OR(E87="",E87=0,I87=""),"",1000*I87/E87)</x:f>
      </x:c>
      <x:c r="N87" s="56" t="str">
        <x:f>IF(OR(E87="",E87=0,K87=""),"",1000*K87/E87)</x:f>
      </x:c>
      <x:c r="O87" s="56" t="str">
        <x:f>IF(OR(E87="",E87=0,J87=""),"",1000*J87/E87)</x:f>
      </x:c>
      <x:c r="P87" s="36"/>
      <x:c r="Q87" s="36"/>
    </x:row>
    <x:row r="88" ht="42" customHeight="1">
      <x:c r="A88" s="29" t="str">
        <x:v>BTB-087</x:v>
      </x:c>
      <x:c r="B88" s="62" t="n">
        <x:v>46409</x:v>
      </x:c>
      <x:c r="C88" s="54"/>
      <x:c r="D88" s="55"/>
      <x:c r="E88" s="55"/>
      <x:c r="F88" s="55"/>
      <x:c r="G88" s="55"/>
      <x:c r="H88" s="55"/>
      <x:c r="I88" s="55"/>
      <x:c r="J88" s="55"/>
      <x:c r="K88" s="55"/>
      <x:c r="L88" s="56" t="str">
        <x:f>IF(OR(E88="",E88=0,H88=""),"",1000*H88/E88)</x:f>
      </x:c>
      <x:c r="M88" s="56" t="str">
        <x:f>IF(OR(E88="",E88=0,I88=""),"",1000*I88/E88)</x:f>
      </x:c>
      <x:c r="N88" s="56" t="str">
        <x:f>IF(OR(E88="",E88=0,K88=""),"",1000*K88/E88)</x:f>
      </x:c>
      <x:c r="O88" s="56" t="str">
        <x:f>IF(OR(E88="",E88=0,J88=""),"",1000*J88/E88)</x:f>
      </x:c>
      <x:c r="P88" s="36"/>
      <x:c r="Q88" s="36"/>
    </x:row>
    <x:row r="89" ht="42" customHeight="1">
      <x:c r="A89" s="29" t="str">
        <x:v>BTB-088</x:v>
      </x:c>
      <x:c r="B89" s="62" t="n">
        <x:v>46410</x:v>
      </x:c>
      <x:c r="C89" s="54"/>
      <x:c r="D89" s="55"/>
      <x:c r="E89" s="55"/>
      <x:c r="F89" s="55"/>
      <x:c r="G89" s="55"/>
      <x:c r="H89" s="55"/>
      <x:c r="I89" s="55"/>
      <x:c r="J89" s="55"/>
      <x:c r="K89" s="55"/>
      <x:c r="L89" s="56" t="str">
        <x:f>IF(OR(E89="",E89=0,H89=""),"",1000*H89/E89)</x:f>
      </x:c>
      <x:c r="M89" s="56" t="str">
        <x:f>IF(OR(E89="",E89=0,I89=""),"",1000*I89/E89)</x:f>
      </x:c>
      <x:c r="N89" s="56" t="str">
        <x:f>IF(OR(E89="",E89=0,K89=""),"",1000*K89/E89)</x:f>
      </x:c>
      <x:c r="O89" s="56" t="str">
        <x:f>IF(OR(E89="",E89=0,J89=""),"",1000*J89/E89)</x:f>
      </x:c>
      <x:c r="P89" s="36"/>
      <x:c r="Q89" s="36"/>
    </x:row>
    <x:row r="90" ht="42" customHeight="1">
      <x:c r="A90" s="29" t="str">
        <x:v>BTB-089</x:v>
      </x:c>
      <x:c r="B90" s="62" t="n">
        <x:v>46411</x:v>
      </x:c>
      <x:c r="C90" s="54"/>
      <x:c r="D90" s="55"/>
      <x:c r="E90" s="55"/>
      <x:c r="F90" s="55"/>
      <x:c r="G90" s="55"/>
      <x:c r="H90" s="55"/>
      <x:c r="I90" s="55"/>
      <x:c r="J90" s="55"/>
      <x:c r="K90" s="55"/>
      <x:c r="L90" s="56" t="str">
        <x:f>IF(OR(E90="",E90=0,H90=""),"",1000*H90/E90)</x:f>
      </x:c>
      <x:c r="M90" s="56" t="str">
        <x:f>IF(OR(E90="",E90=0,I90=""),"",1000*I90/E90)</x:f>
      </x:c>
      <x:c r="N90" s="56" t="str">
        <x:f>IF(OR(E90="",E90=0,K90=""),"",1000*K90/E90)</x:f>
      </x:c>
      <x:c r="O90" s="56" t="str">
        <x:f>IF(OR(E90="",E90=0,J90=""),"",1000*J90/E90)</x:f>
      </x:c>
      <x:c r="P90" s="36"/>
      <x:c r="Q90" s="36"/>
    </x:row>
    <x:row r="91" ht="42" customHeight="1">
      <x:c r="A91" s="29" t="str">
        <x:v>BTB-090</x:v>
      </x:c>
      <x:c r="B91" s="62" t="n">
        <x:v>46412</x:v>
      </x:c>
      <x:c r="C91" s="54"/>
      <x:c r="D91" s="55"/>
      <x:c r="E91" s="55"/>
      <x:c r="F91" s="55"/>
      <x:c r="G91" s="55"/>
      <x:c r="H91" s="55"/>
      <x:c r="I91" s="55"/>
      <x:c r="J91" s="55"/>
      <x:c r="K91" s="55"/>
      <x:c r="L91" s="56" t="str">
        <x:f>IF(OR(E91="",E91=0,H91=""),"",1000*H91/E91)</x:f>
      </x:c>
      <x:c r="M91" s="56" t="str">
        <x:f>IF(OR(E91="",E91=0,I91=""),"",1000*I91/E91)</x:f>
      </x:c>
      <x:c r="N91" s="56" t="str">
        <x:f>IF(OR(E91="",E91=0,K91=""),"",1000*K91/E91)</x:f>
      </x:c>
      <x:c r="O91" s="56" t="str">
        <x:f>IF(OR(E91="",E91=0,J91=""),"",1000*J91/E91)</x:f>
      </x:c>
      <x:c r="P91" s="36"/>
      <x:c r="Q91" s="36"/>
    </x:row>
    <x:row r="92" ht="42" customHeight="1">
      <x:c r="A92" s="29" t="str">
        <x:v>BTB-091</x:v>
      </x:c>
      <x:c r="B92" s="62" t="n">
        <x:v>46413</x:v>
      </x:c>
      <x:c r="C92" s="54"/>
      <x:c r="D92" s="55"/>
      <x:c r="E92" s="55"/>
      <x:c r="F92" s="55"/>
      <x:c r="G92" s="55"/>
      <x:c r="H92" s="55"/>
      <x:c r="I92" s="55"/>
      <x:c r="J92" s="55"/>
      <x:c r="K92" s="55"/>
      <x:c r="L92" s="56" t="str">
        <x:f>IF(OR(E92="",E92=0,H92=""),"",1000*H92/E92)</x:f>
      </x:c>
      <x:c r="M92" s="56" t="str">
        <x:f>IF(OR(E92="",E92=0,I92=""),"",1000*I92/E92)</x:f>
      </x:c>
      <x:c r="N92" s="56" t="str">
        <x:f>IF(OR(E92="",E92=0,K92=""),"",1000*K92/E92)</x:f>
      </x:c>
      <x:c r="O92" s="56" t="str">
        <x:f>IF(OR(E92="",E92=0,J92=""),"",1000*J92/E92)</x:f>
      </x:c>
      <x:c r="P92" s="36"/>
      <x:c r="Q92" s="36"/>
    </x:row>
    <x:row r="93" ht="42" customHeight="1">
      <x:c r="A93" s="29" t="str">
        <x:v>BTB-092</x:v>
      </x:c>
      <x:c r="B93" s="62" t="n">
        <x:v>46414</x:v>
      </x:c>
      <x:c r="C93" s="54"/>
      <x:c r="D93" s="55"/>
      <x:c r="E93" s="55"/>
      <x:c r="F93" s="55"/>
      <x:c r="G93" s="55"/>
      <x:c r="H93" s="55"/>
      <x:c r="I93" s="55"/>
      <x:c r="J93" s="55"/>
      <x:c r="K93" s="55"/>
      <x:c r="L93" s="56" t="str">
        <x:f>IF(OR(E93="",E93=0,H93=""),"",1000*H93/E93)</x:f>
      </x:c>
      <x:c r="M93" s="56" t="str">
        <x:f>IF(OR(E93="",E93=0,I93=""),"",1000*I93/E93)</x:f>
      </x:c>
      <x:c r="N93" s="56" t="str">
        <x:f>IF(OR(E93="",E93=0,K93=""),"",1000*K93/E93)</x:f>
      </x:c>
      <x:c r="O93" s="56" t="str">
        <x:f>IF(OR(E93="",E93=0,J93=""),"",1000*J93/E93)</x:f>
      </x:c>
      <x:c r="P93" s="36"/>
      <x:c r="Q93" s="36"/>
    </x:row>
    <x:row r="94" ht="42" customHeight="1">
      <x:c r="A94" s="29" t="str">
        <x:v>BTB-093</x:v>
      </x:c>
      <x:c r="B94" s="62" t="n">
        <x:v>46415</x:v>
      </x:c>
      <x:c r="C94" s="54"/>
      <x:c r="D94" s="55"/>
      <x:c r="E94" s="55"/>
      <x:c r="F94" s="55"/>
      <x:c r="G94" s="55"/>
      <x:c r="H94" s="55"/>
      <x:c r="I94" s="55"/>
      <x:c r="J94" s="55"/>
      <x:c r="K94" s="55"/>
      <x:c r="L94" s="56" t="str">
        <x:f>IF(OR(E94="",E94=0,H94=""),"",1000*H94/E94)</x:f>
      </x:c>
      <x:c r="M94" s="56" t="str">
        <x:f>IF(OR(E94="",E94=0,I94=""),"",1000*I94/E94)</x:f>
      </x:c>
      <x:c r="N94" s="56" t="str">
        <x:f>IF(OR(E94="",E94=0,K94=""),"",1000*K94/E94)</x:f>
      </x:c>
      <x:c r="O94" s="56" t="str">
        <x:f>IF(OR(E94="",E94=0,J94=""),"",1000*J94/E94)</x:f>
      </x:c>
      <x:c r="P94" s="36"/>
      <x:c r="Q94" s="36"/>
    </x:row>
    <x:row r="95" ht="42" customHeight="1">
      <x:c r="A95" s="29" t="str">
        <x:v>BTB-094</x:v>
      </x:c>
      <x:c r="B95" s="62" t="n">
        <x:v>46416</x:v>
      </x:c>
      <x:c r="C95" s="54"/>
      <x:c r="D95" s="55"/>
      <x:c r="E95" s="55"/>
      <x:c r="F95" s="55"/>
      <x:c r="G95" s="55"/>
      <x:c r="H95" s="55"/>
      <x:c r="I95" s="55"/>
      <x:c r="J95" s="55"/>
      <x:c r="K95" s="55"/>
      <x:c r="L95" s="56" t="str">
        <x:f>IF(OR(E95="",E95=0,H95=""),"",1000*H95/E95)</x:f>
      </x:c>
      <x:c r="M95" s="56" t="str">
        <x:f>IF(OR(E95="",E95=0,I95=""),"",1000*I95/E95)</x:f>
      </x:c>
      <x:c r="N95" s="56" t="str">
        <x:f>IF(OR(E95="",E95=0,K95=""),"",1000*K95/E95)</x:f>
      </x:c>
      <x:c r="O95" s="56" t="str">
        <x:f>IF(OR(E95="",E95=0,J95=""),"",1000*J95/E95)</x:f>
      </x:c>
      <x:c r="P95" s="36"/>
      <x:c r="Q95" s="36"/>
    </x:row>
    <x:row r="96" ht="42" customHeight="1">
      <x:c r="A96" s="29" t="str">
        <x:v>BTB-095</x:v>
      </x:c>
      <x:c r="B96" s="62" t="n">
        <x:v>46417</x:v>
      </x:c>
      <x:c r="C96" s="54"/>
      <x:c r="D96" s="55"/>
      <x:c r="E96" s="55"/>
      <x:c r="F96" s="55"/>
      <x:c r="G96" s="55"/>
      <x:c r="H96" s="55"/>
      <x:c r="I96" s="55"/>
      <x:c r="J96" s="55"/>
      <x:c r="K96" s="55"/>
      <x:c r="L96" s="56" t="str">
        <x:f>IF(OR(E96="",E96=0,H96=""),"",1000*H96/E96)</x:f>
      </x:c>
      <x:c r="M96" s="56" t="str">
        <x:f>IF(OR(E96="",E96=0,I96=""),"",1000*I96/E96)</x:f>
      </x:c>
      <x:c r="N96" s="56" t="str">
        <x:f>IF(OR(E96="",E96=0,K96=""),"",1000*K96/E96)</x:f>
      </x:c>
      <x:c r="O96" s="56" t="str">
        <x:f>IF(OR(E96="",E96=0,J96=""),"",1000*J96/E96)</x:f>
      </x:c>
      <x:c r="P96" s="36"/>
      <x:c r="Q96" s="36"/>
    </x:row>
    <x:row r="97" ht="42" customHeight="1">
      <x:c r="A97" s="29" t="str">
        <x:v>BTB-096</x:v>
      </x:c>
      <x:c r="B97" s="62" t="n">
        <x:v>46418</x:v>
      </x:c>
      <x:c r="C97" s="54"/>
      <x:c r="D97" s="55"/>
      <x:c r="E97" s="55"/>
      <x:c r="F97" s="55"/>
      <x:c r="G97" s="55"/>
      <x:c r="H97" s="55"/>
      <x:c r="I97" s="55"/>
      <x:c r="J97" s="55"/>
      <x:c r="K97" s="55"/>
      <x:c r="L97" s="56" t="str">
        <x:f>IF(OR(E97="",E97=0,H97=""),"",1000*H97/E97)</x:f>
      </x:c>
      <x:c r="M97" s="56" t="str">
        <x:f>IF(OR(E97="",E97=0,I97=""),"",1000*I97/E97)</x:f>
      </x:c>
      <x:c r="N97" s="56" t="str">
        <x:f>IF(OR(E97="",E97=0,K97=""),"",1000*K97/E97)</x:f>
      </x:c>
      <x:c r="O97" s="56" t="str">
        <x:f>IF(OR(E97="",E97=0,J97=""),"",1000*J97/E97)</x:f>
      </x:c>
      <x:c r="P97" s="36"/>
      <x:c r="Q97" s="36"/>
    </x:row>
    <x:row r="98" ht="42" customHeight="1">
      <x:c r="A98" s="29" t="str">
        <x:v>BTB-097</x:v>
      </x:c>
      <x:c r="B98" s="62" t="n">
        <x:v>46419</x:v>
      </x:c>
      <x:c r="C98" s="54"/>
      <x:c r="D98" s="55"/>
      <x:c r="E98" s="55"/>
      <x:c r="F98" s="55"/>
      <x:c r="G98" s="55"/>
      <x:c r="H98" s="55"/>
      <x:c r="I98" s="55"/>
      <x:c r="J98" s="55"/>
      <x:c r="K98" s="55"/>
      <x:c r="L98" s="56" t="str">
        <x:f>IF(OR(E98="",E98=0,H98=""),"",1000*H98/E98)</x:f>
      </x:c>
      <x:c r="M98" s="56" t="str">
        <x:f>IF(OR(E98="",E98=0,I98=""),"",1000*I98/E98)</x:f>
      </x:c>
      <x:c r="N98" s="56" t="str">
        <x:f>IF(OR(E98="",E98=0,K98=""),"",1000*K98/E98)</x:f>
      </x:c>
      <x:c r="O98" s="56" t="str">
        <x:f>IF(OR(E98="",E98=0,J98=""),"",1000*J98/E98)</x:f>
      </x:c>
      <x:c r="P98" s="36"/>
      <x:c r="Q98" s="36"/>
    </x:row>
    <x:row r="99" ht="42" customHeight="1">
      <x:c r="A99" s="29" t="str">
        <x:v>BTB-098</x:v>
      </x:c>
      <x:c r="B99" s="62" t="n">
        <x:v>46420</x:v>
      </x:c>
      <x:c r="C99" s="54"/>
      <x:c r="D99" s="55"/>
      <x:c r="E99" s="55"/>
      <x:c r="F99" s="55"/>
      <x:c r="G99" s="55"/>
      <x:c r="H99" s="55"/>
      <x:c r="I99" s="55"/>
      <x:c r="J99" s="55"/>
      <x:c r="K99" s="55"/>
      <x:c r="L99" s="56" t="str">
        <x:f>IF(OR(E99="",E99=0,H99=""),"",1000*H99/E99)</x:f>
      </x:c>
      <x:c r="M99" s="56" t="str">
        <x:f>IF(OR(E99="",E99=0,I99=""),"",1000*I99/E99)</x:f>
      </x:c>
      <x:c r="N99" s="56" t="str">
        <x:f>IF(OR(E99="",E99=0,K99=""),"",1000*K99/E99)</x:f>
      </x:c>
      <x:c r="O99" s="56" t="str">
        <x:f>IF(OR(E99="",E99=0,J99=""),"",1000*J99/E99)</x:f>
      </x:c>
      <x:c r="P99" s="36"/>
      <x:c r="Q99" s="36"/>
    </x:row>
    <x:row r="100" ht="42" customHeight="1">
      <x:c r="A100" s="29" t="str">
        <x:v>BTB-099</x:v>
      </x:c>
      <x:c r="B100" s="62" t="n">
        <x:v>46421</x:v>
      </x:c>
      <x:c r="C100" s="54"/>
      <x:c r="D100" s="55"/>
      <x:c r="E100" s="55"/>
      <x:c r="F100" s="55"/>
      <x:c r="G100" s="55"/>
      <x:c r="H100" s="55"/>
      <x:c r="I100" s="55"/>
      <x:c r="J100" s="55"/>
      <x:c r="K100" s="55"/>
      <x:c r="L100" s="56" t="str">
        <x:f>IF(OR(E100="",E100=0,H100=""),"",1000*H100/E100)</x:f>
      </x:c>
      <x:c r="M100" s="56" t="str">
        <x:f>IF(OR(E100="",E100=0,I100=""),"",1000*I100/E100)</x:f>
      </x:c>
      <x:c r="N100" s="56" t="str">
        <x:f>IF(OR(E100="",E100=0,K100=""),"",1000*K100/E100)</x:f>
      </x:c>
      <x:c r="O100" s="56" t="str">
        <x:f>IF(OR(E100="",E100=0,J100=""),"",1000*J100/E100)</x:f>
      </x:c>
      <x:c r="P100" s="36"/>
      <x:c r="Q100" s="36"/>
    </x:row>
    <x:row r="101" ht="42" customHeight="1">
      <x:c r="A101" s="29" t="str">
        <x:v>BTB-100</x:v>
      </x:c>
      <x:c r="B101" s="62" t="n">
        <x:v>46422</x:v>
      </x:c>
      <x:c r="C101" s="54"/>
      <x:c r="D101" s="55"/>
      <x:c r="E101" s="55"/>
      <x:c r="F101" s="55"/>
      <x:c r="G101" s="55"/>
      <x:c r="H101" s="55"/>
      <x:c r="I101" s="55"/>
      <x:c r="J101" s="55"/>
      <x:c r="K101" s="55"/>
      <x:c r="L101" s="56" t="str">
        <x:f>IF(OR(E101="",E101=0,H101=""),"",1000*H101/E101)</x:f>
      </x:c>
      <x:c r="M101" s="56" t="str">
        <x:f>IF(OR(E101="",E101=0,I101=""),"",1000*I101/E101)</x:f>
      </x:c>
      <x:c r="N101" s="56" t="str">
        <x:f>IF(OR(E101="",E101=0,K101=""),"",1000*K101/E101)</x:f>
      </x:c>
      <x:c r="O101" s="56" t="str">
        <x:f>IF(OR(E101="",E101=0,J101=""),"",1000*J101/E101)</x:f>
      </x:c>
      <x:c r="P101" s="36"/>
      <x:c r="Q101" s="36"/>
    </x:row>
    <x:row r="102" ht="42" customHeight="1">
      <x:c r="A102" s="29" t="str">
        <x:v>BTB-101</x:v>
      </x:c>
      <x:c r="B102" s="62" t="n">
        <x:v>46423</x:v>
      </x:c>
      <x:c r="C102" s="54"/>
      <x:c r="D102" s="55"/>
      <x:c r="E102" s="55"/>
      <x:c r="F102" s="55"/>
      <x:c r="G102" s="55"/>
      <x:c r="H102" s="55"/>
      <x:c r="I102" s="55"/>
      <x:c r="J102" s="55"/>
      <x:c r="K102" s="55"/>
      <x:c r="L102" s="56" t="str">
        <x:f>IF(OR(E102="",E102=0,H102=""),"",1000*H102/E102)</x:f>
      </x:c>
      <x:c r="M102" s="56" t="str">
        <x:f>IF(OR(E102="",E102=0,I102=""),"",1000*I102/E102)</x:f>
      </x:c>
      <x:c r="N102" s="56" t="str">
        <x:f>IF(OR(E102="",E102=0,K102=""),"",1000*K102/E102)</x:f>
      </x:c>
      <x:c r="O102" s="56" t="str">
        <x:f>IF(OR(E102="",E102=0,J102=""),"",1000*J102/E102)</x:f>
      </x:c>
      <x:c r="P102" s="36"/>
      <x:c r="Q102" s="36"/>
    </x:row>
    <x:row r="103" ht="42" customHeight="1">
      <x:c r="A103" s="29" t="str">
        <x:v>BTB-102</x:v>
      </x:c>
      <x:c r="B103" s="62" t="n">
        <x:v>46424</x:v>
      </x:c>
      <x:c r="C103" s="54"/>
      <x:c r="D103" s="55"/>
      <x:c r="E103" s="55"/>
      <x:c r="F103" s="55"/>
      <x:c r="G103" s="55"/>
      <x:c r="H103" s="55"/>
      <x:c r="I103" s="55"/>
      <x:c r="J103" s="55"/>
      <x:c r="K103" s="55"/>
      <x:c r="L103" s="56" t="str">
        <x:f>IF(OR(E103="",E103=0,H103=""),"",1000*H103/E103)</x:f>
      </x:c>
      <x:c r="M103" s="56" t="str">
        <x:f>IF(OR(E103="",E103=0,I103=""),"",1000*I103/E103)</x:f>
      </x:c>
      <x:c r="N103" s="56" t="str">
        <x:f>IF(OR(E103="",E103=0,K103=""),"",1000*K103/E103)</x:f>
      </x:c>
      <x:c r="O103" s="56" t="str">
        <x:f>IF(OR(E103="",E103=0,J103=""),"",1000*J103/E103)</x:f>
      </x:c>
      <x:c r="P103" s="36"/>
      <x:c r="Q103" s="36"/>
    </x:row>
    <x:row r="104" ht="42" customHeight="1">
      <x:c r="A104" s="29" t="str">
        <x:v>BTB-103</x:v>
      </x:c>
      <x:c r="B104" s="62" t="n">
        <x:v>46425</x:v>
      </x:c>
      <x:c r="C104" s="54"/>
      <x:c r="D104" s="55"/>
      <x:c r="E104" s="55"/>
      <x:c r="F104" s="55"/>
      <x:c r="G104" s="55"/>
      <x:c r="H104" s="55"/>
      <x:c r="I104" s="55"/>
      <x:c r="J104" s="55"/>
      <x:c r="K104" s="55"/>
      <x:c r="L104" s="56" t="str">
        <x:f>IF(OR(E104="",E104=0,H104=""),"",1000*H104/E104)</x:f>
      </x:c>
      <x:c r="M104" s="56" t="str">
        <x:f>IF(OR(E104="",E104=0,I104=""),"",1000*I104/E104)</x:f>
      </x:c>
      <x:c r="N104" s="56" t="str">
        <x:f>IF(OR(E104="",E104=0,K104=""),"",1000*K104/E104)</x:f>
      </x:c>
      <x:c r="O104" s="56" t="str">
        <x:f>IF(OR(E104="",E104=0,J104=""),"",1000*J104/E104)</x:f>
      </x:c>
      <x:c r="P104" s="36"/>
      <x:c r="Q104" s="36"/>
    </x:row>
    <x:row r="105" ht="42" customHeight="1">
      <x:c r="A105" s="29" t="str">
        <x:v>BTB-104</x:v>
      </x:c>
      <x:c r="B105" s="62" t="n">
        <x:v>46426</x:v>
      </x:c>
      <x:c r="C105" s="54"/>
      <x:c r="D105" s="55"/>
      <x:c r="E105" s="55"/>
      <x:c r="F105" s="55"/>
      <x:c r="G105" s="55"/>
      <x:c r="H105" s="55"/>
      <x:c r="I105" s="55"/>
      <x:c r="J105" s="55"/>
      <x:c r="K105" s="55"/>
      <x:c r="L105" s="56" t="str">
        <x:f>IF(OR(E105="",E105=0,H105=""),"",1000*H105/E105)</x:f>
      </x:c>
      <x:c r="M105" s="56" t="str">
        <x:f>IF(OR(E105="",E105=0,I105=""),"",1000*I105/E105)</x:f>
      </x:c>
      <x:c r="N105" s="56" t="str">
        <x:f>IF(OR(E105="",E105=0,K105=""),"",1000*K105/E105)</x:f>
      </x:c>
      <x:c r="O105" s="56" t="str">
        <x:f>IF(OR(E105="",E105=0,J105=""),"",1000*J105/E105)</x:f>
      </x:c>
      <x:c r="P105" s="36"/>
      <x:c r="Q105" s="36"/>
    </x:row>
    <x:row r="106" ht="42" customHeight="1">
      <x:c r="A106" s="29" t="str">
        <x:v>BTB-105</x:v>
      </x:c>
      <x:c r="B106" s="62" t="n">
        <x:v>46427</x:v>
      </x:c>
      <x:c r="C106" s="54"/>
      <x:c r="D106" s="55"/>
      <x:c r="E106" s="55"/>
      <x:c r="F106" s="55"/>
      <x:c r="G106" s="55"/>
      <x:c r="H106" s="55"/>
      <x:c r="I106" s="55"/>
      <x:c r="J106" s="55"/>
      <x:c r="K106" s="55"/>
      <x:c r="L106" s="56" t="str">
        <x:f>IF(OR(E106="",E106=0,H106=""),"",1000*H106/E106)</x:f>
      </x:c>
      <x:c r="M106" s="56" t="str">
        <x:f>IF(OR(E106="",E106=0,I106=""),"",1000*I106/E106)</x:f>
      </x:c>
      <x:c r="N106" s="56" t="str">
        <x:f>IF(OR(E106="",E106=0,K106=""),"",1000*K106/E106)</x:f>
      </x:c>
      <x:c r="O106" s="56" t="str">
        <x:f>IF(OR(E106="",E106=0,J106=""),"",1000*J106/E106)</x:f>
      </x:c>
      <x:c r="P106" s="36"/>
      <x:c r="Q106" s="36"/>
    </x:row>
    <x:row r="107" ht="42" customHeight="1">
      <x:c r="A107" s="29" t="str">
        <x:v>BTB-106</x:v>
      </x:c>
      <x:c r="B107" s="62" t="n">
        <x:v>46428</x:v>
      </x:c>
      <x:c r="C107" s="54"/>
      <x:c r="D107" s="55"/>
      <x:c r="E107" s="55"/>
      <x:c r="F107" s="55"/>
      <x:c r="G107" s="55"/>
      <x:c r="H107" s="55"/>
      <x:c r="I107" s="55"/>
      <x:c r="J107" s="55"/>
      <x:c r="K107" s="55"/>
      <x:c r="L107" s="56" t="str">
        <x:f>IF(OR(E107="",E107=0,H107=""),"",1000*H107/E107)</x:f>
      </x:c>
      <x:c r="M107" s="56" t="str">
        <x:f>IF(OR(E107="",E107=0,I107=""),"",1000*I107/E107)</x:f>
      </x:c>
      <x:c r="N107" s="56" t="str">
        <x:f>IF(OR(E107="",E107=0,K107=""),"",1000*K107/E107)</x:f>
      </x:c>
      <x:c r="O107" s="56" t="str">
        <x:f>IF(OR(E107="",E107=0,J107=""),"",1000*J107/E107)</x:f>
      </x:c>
      <x:c r="P107" s="36"/>
      <x:c r="Q107" s="36"/>
    </x:row>
    <x:row r="108" ht="42" customHeight="1">
      <x:c r="A108" s="29" t="str">
        <x:v>BTB-107</x:v>
      </x:c>
      <x:c r="B108" s="62" t="n">
        <x:v>46429</x:v>
      </x:c>
      <x:c r="C108" s="54"/>
      <x:c r="D108" s="55"/>
      <x:c r="E108" s="55"/>
      <x:c r="F108" s="55"/>
      <x:c r="G108" s="55"/>
      <x:c r="H108" s="55"/>
      <x:c r="I108" s="55"/>
      <x:c r="J108" s="55"/>
      <x:c r="K108" s="55"/>
      <x:c r="L108" s="56" t="str">
        <x:f>IF(OR(E108="",E108=0,H108=""),"",1000*H108/E108)</x:f>
      </x:c>
      <x:c r="M108" s="56" t="str">
        <x:f>IF(OR(E108="",E108=0,I108=""),"",1000*I108/E108)</x:f>
      </x:c>
      <x:c r="N108" s="56" t="str">
        <x:f>IF(OR(E108="",E108=0,K108=""),"",1000*K108/E108)</x:f>
      </x:c>
      <x:c r="O108" s="56" t="str">
        <x:f>IF(OR(E108="",E108=0,J108=""),"",1000*J108/E108)</x:f>
      </x:c>
      <x:c r="P108" s="36"/>
      <x:c r="Q108" s="36"/>
    </x:row>
    <x:row r="109" ht="42" customHeight="1">
      <x:c r="A109" s="29" t="str">
        <x:v>BTB-108</x:v>
      </x:c>
      <x:c r="B109" s="62" t="n">
        <x:v>46430</x:v>
      </x:c>
      <x:c r="C109" s="54"/>
      <x:c r="D109" s="55"/>
      <x:c r="E109" s="55"/>
      <x:c r="F109" s="55"/>
      <x:c r="G109" s="55"/>
      <x:c r="H109" s="55"/>
      <x:c r="I109" s="55"/>
      <x:c r="J109" s="55"/>
      <x:c r="K109" s="55"/>
      <x:c r="L109" s="56" t="str">
        <x:f>IF(OR(E109="",E109=0,H109=""),"",1000*H109/E109)</x:f>
      </x:c>
      <x:c r="M109" s="56" t="str">
        <x:f>IF(OR(E109="",E109=0,I109=""),"",1000*I109/E109)</x:f>
      </x:c>
      <x:c r="N109" s="56" t="str">
        <x:f>IF(OR(E109="",E109=0,K109=""),"",1000*K109/E109)</x:f>
      </x:c>
      <x:c r="O109" s="56" t="str">
        <x:f>IF(OR(E109="",E109=0,J109=""),"",1000*J109/E109)</x:f>
      </x:c>
      <x:c r="P109" s="36"/>
      <x:c r="Q109" s="36"/>
    </x:row>
    <x:row r="110" ht="42" customHeight="1">
      <x:c r="A110" s="29" t="str">
        <x:v>BTB-109</x:v>
      </x:c>
      <x:c r="B110" s="62" t="n">
        <x:v>46431</x:v>
      </x:c>
      <x:c r="C110" s="54"/>
      <x:c r="D110" s="55"/>
      <x:c r="E110" s="55"/>
      <x:c r="F110" s="55"/>
      <x:c r="G110" s="55"/>
      <x:c r="H110" s="55"/>
      <x:c r="I110" s="55"/>
      <x:c r="J110" s="55"/>
      <x:c r="K110" s="55"/>
      <x:c r="L110" s="56" t="str">
        <x:f>IF(OR(E110="",E110=0,H110=""),"",1000*H110/E110)</x:f>
      </x:c>
      <x:c r="M110" s="56" t="str">
        <x:f>IF(OR(E110="",E110=0,I110=""),"",1000*I110/E110)</x:f>
      </x:c>
      <x:c r="N110" s="56" t="str">
        <x:f>IF(OR(E110="",E110=0,K110=""),"",1000*K110/E110)</x:f>
      </x:c>
      <x:c r="O110" s="56" t="str">
        <x:f>IF(OR(E110="",E110=0,J110=""),"",1000*J110/E110)</x:f>
      </x:c>
      <x:c r="P110" s="36"/>
      <x:c r="Q110" s="36"/>
    </x:row>
    <x:row r="111" ht="42" customHeight="1">
      <x:c r="A111" s="29" t="str">
        <x:v>BTB-110</x:v>
      </x:c>
      <x:c r="B111" s="62" t="n">
        <x:v>46432</x:v>
      </x:c>
      <x:c r="C111" s="54"/>
      <x:c r="D111" s="55"/>
      <x:c r="E111" s="55"/>
      <x:c r="F111" s="55"/>
      <x:c r="G111" s="55"/>
      <x:c r="H111" s="55"/>
      <x:c r="I111" s="55"/>
      <x:c r="J111" s="55"/>
      <x:c r="K111" s="55"/>
      <x:c r="L111" s="56" t="str">
        <x:f>IF(OR(E111="",E111=0,H111=""),"",1000*H111/E111)</x:f>
      </x:c>
      <x:c r="M111" s="56" t="str">
        <x:f>IF(OR(E111="",E111=0,I111=""),"",1000*I111/E111)</x:f>
      </x:c>
      <x:c r="N111" s="56" t="str">
        <x:f>IF(OR(E111="",E111=0,K111=""),"",1000*K111/E111)</x:f>
      </x:c>
      <x:c r="O111" s="56" t="str">
        <x:f>IF(OR(E111="",E111=0,J111=""),"",1000*J111/E111)</x:f>
      </x:c>
      <x:c r="P111" s="36"/>
      <x:c r="Q111" s="36"/>
    </x:row>
    <x:row r="112" ht="42" customHeight="1">
      <x:c r="A112" s="29" t="str">
        <x:v>BTB-111</x:v>
      </x:c>
      <x:c r="B112" s="62" t="n">
        <x:v>46433</x:v>
      </x:c>
      <x:c r="C112" s="54"/>
      <x:c r="D112" s="55"/>
      <x:c r="E112" s="55"/>
      <x:c r="F112" s="55"/>
      <x:c r="G112" s="55"/>
      <x:c r="H112" s="55"/>
      <x:c r="I112" s="55"/>
      <x:c r="J112" s="55"/>
      <x:c r="K112" s="55"/>
      <x:c r="L112" s="56" t="str">
        <x:f>IF(OR(E112="",E112=0,H112=""),"",1000*H112/E112)</x:f>
      </x:c>
      <x:c r="M112" s="56" t="str">
        <x:f>IF(OR(E112="",E112=0,I112=""),"",1000*I112/E112)</x:f>
      </x:c>
      <x:c r="N112" s="56" t="str">
        <x:f>IF(OR(E112="",E112=0,K112=""),"",1000*K112/E112)</x:f>
      </x:c>
      <x:c r="O112" s="56" t="str">
        <x:f>IF(OR(E112="",E112=0,J112=""),"",1000*J112/E112)</x:f>
      </x:c>
      <x:c r="P112" s="36"/>
      <x:c r="Q112" s="36"/>
    </x:row>
    <x:row r="113" ht="42" customHeight="1">
      <x:c r="A113" s="29" t="str">
        <x:v>BTB-112</x:v>
      </x:c>
      <x:c r="B113" s="62" t="n">
        <x:v>46434</x:v>
      </x:c>
      <x:c r="C113" s="54"/>
      <x:c r="D113" s="55"/>
      <x:c r="E113" s="55"/>
      <x:c r="F113" s="55"/>
      <x:c r="G113" s="55"/>
      <x:c r="H113" s="55"/>
      <x:c r="I113" s="55"/>
      <x:c r="J113" s="55"/>
      <x:c r="K113" s="55"/>
      <x:c r="L113" s="56" t="str">
        <x:f>IF(OR(E113="",E113=0,H113=""),"",1000*H113/E113)</x:f>
      </x:c>
      <x:c r="M113" s="56" t="str">
        <x:f>IF(OR(E113="",E113=0,I113=""),"",1000*I113/E113)</x:f>
      </x:c>
      <x:c r="N113" s="56" t="str">
        <x:f>IF(OR(E113="",E113=0,K113=""),"",1000*K113/E113)</x:f>
      </x:c>
      <x:c r="O113" s="56" t="str">
        <x:f>IF(OR(E113="",E113=0,J113=""),"",1000*J113/E113)</x:f>
      </x:c>
      <x:c r="P113" s="36"/>
      <x:c r="Q113" s="36"/>
    </x:row>
    <x:row r="114" ht="42" customHeight="1">
      <x:c r="A114" s="29" t="str">
        <x:v>BTB-113</x:v>
      </x:c>
      <x:c r="B114" s="62" t="n">
        <x:v>46435</x:v>
      </x:c>
      <x:c r="C114" s="54"/>
      <x:c r="D114" s="55"/>
      <x:c r="E114" s="55"/>
      <x:c r="F114" s="55"/>
      <x:c r="G114" s="55"/>
      <x:c r="H114" s="55"/>
      <x:c r="I114" s="55"/>
      <x:c r="J114" s="55"/>
      <x:c r="K114" s="55"/>
      <x:c r="L114" s="56" t="str">
        <x:f>IF(OR(E114="",E114=0,H114=""),"",1000*H114/E114)</x:f>
      </x:c>
      <x:c r="M114" s="56" t="str">
        <x:f>IF(OR(E114="",E114=0,I114=""),"",1000*I114/E114)</x:f>
      </x:c>
      <x:c r="N114" s="56" t="str">
        <x:f>IF(OR(E114="",E114=0,K114=""),"",1000*K114/E114)</x:f>
      </x:c>
      <x:c r="O114" s="56" t="str">
        <x:f>IF(OR(E114="",E114=0,J114=""),"",1000*J114/E114)</x:f>
      </x:c>
      <x:c r="P114" s="36"/>
      <x:c r="Q114" s="36"/>
    </x:row>
    <x:row r="115" ht="42" customHeight="1">
      <x:c r="A115" s="29" t="str">
        <x:v>BTB-114</x:v>
      </x:c>
      <x:c r="B115" s="62" t="n">
        <x:v>46436</x:v>
      </x:c>
      <x:c r="C115" s="54"/>
      <x:c r="D115" s="55"/>
      <x:c r="E115" s="55"/>
      <x:c r="F115" s="55"/>
      <x:c r="G115" s="55"/>
      <x:c r="H115" s="55"/>
      <x:c r="I115" s="55"/>
      <x:c r="J115" s="55"/>
      <x:c r="K115" s="55"/>
      <x:c r="L115" s="56" t="str">
        <x:f>IF(OR(E115="",E115=0,H115=""),"",1000*H115/E115)</x:f>
      </x:c>
      <x:c r="M115" s="56" t="str">
        <x:f>IF(OR(E115="",E115=0,I115=""),"",1000*I115/E115)</x:f>
      </x:c>
      <x:c r="N115" s="56" t="str">
        <x:f>IF(OR(E115="",E115=0,K115=""),"",1000*K115/E115)</x:f>
      </x:c>
      <x:c r="O115" s="56" t="str">
        <x:f>IF(OR(E115="",E115=0,J115=""),"",1000*J115/E115)</x:f>
      </x:c>
      <x:c r="P115" s="36"/>
      <x:c r="Q115" s="36"/>
    </x:row>
    <x:row r="116" ht="42" customHeight="1">
      <x:c r="A116" s="29" t="str">
        <x:v>BTB-115</x:v>
      </x:c>
      <x:c r="B116" s="62" t="n">
        <x:v>46437</x:v>
      </x:c>
      <x:c r="C116" s="54"/>
      <x:c r="D116" s="55"/>
      <x:c r="E116" s="55"/>
      <x:c r="F116" s="55"/>
      <x:c r="G116" s="55"/>
      <x:c r="H116" s="55"/>
      <x:c r="I116" s="55"/>
      <x:c r="J116" s="55"/>
      <x:c r="K116" s="55"/>
      <x:c r="L116" s="56" t="str">
        <x:f>IF(OR(E116="",E116=0,H116=""),"",1000*H116/E116)</x:f>
      </x:c>
      <x:c r="M116" s="56" t="str">
        <x:f>IF(OR(E116="",E116=0,I116=""),"",1000*I116/E116)</x:f>
      </x:c>
      <x:c r="N116" s="56" t="str">
        <x:f>IF(OR(E116="",E116=0,K116=""),"",1000*K116/E116)</x:f>
      </x:c>
      <x:c r="O116" s="56" t="str">
        <x:f>IF(OR(E116="",E116=0,J116=""),"",1000*J116/E116)</x:f>
      </x:c>
      <x:c r="P116" s="36"/>
      <x:c r="Q116" s="36"/>
    </x:row>
    <x:row r="117" ht="42" customHeight="1">
      <x:c r="A117" s="29" t="str">
        <x:v>BTB-116</x:v>
      </x:c>
      <x:c r="B117" s="62" t="n">
        <x:v>46438</x:v>
      </x:c>
      <x:c r="C117" s="54"/>
      <x:c r="D117" s="55"/>
      <x:c r="E117" s="55"/>
      <x:c r="F117" s="55"/>
      <x:c r="G117" s="55"/>
      <x:c r="H117" s="55"/>
      <x:c r="I117" s="55"/>
      <x:c r="J117" s="55"/>
      <x:c r="K117" s="55"/>
      <x:c r="L117" s="56" t="str">
        <x:f>IF(OR(E117="",E117=0,H117=""),"",1000*H117/E117)</x:f>
      </x:c>
      <x:c r="M117" s="56" t="str">
        <x:f>IF(OR(E117="",E117=0,I117=""),"",1000*I117/E117)</x:f>
      </x:c>
      <x:c r="N117" s="56" t="str">
        <x:f>IF(OR(E117="",E117=0,K117=""),"",1000*K117/E117)</x:f>
      </x:c>
      <x:c r="O117" s="56" t="str">
        <x:f>IF(OR(E117="",E117=0,J117=""),"",1000*J117/E117)</x:f>
      </x:c>
      <x:c r="P117" s="36"/>
      <x:c r="Q117" s="36"/>
    </x:row>
    <x:row r="118" ht="42" customHeight="1">
      <x:c r="A118" s="29" t="str">
        <x:v>BTB-117</x:v>
      </x:c>
      <x:c r="B118" s="62" t="n">
        <x:v>46439</x:v>
      </x:c>
      <x:c r="C118" s="54"/>
      <x:c r="D118" s="55"/>
      <x:c r="E118" s="55"/>
      <x:c r="F118" s="55"/>
      <x:c r="G118" s="55"/>
      <x:c r="H118" s="55"/>
      <x:c r="I118" s="55"/>
      <x:c r="J118" s="55"/>
      <x:c r="K118" s="55"/>
      <x:c r="L118" s="56" t="str">
        <x:f>IF(OR(E118="",E118=0,H118=""),"",1000*H118/E118)</x:f>
      </x:c>
      <x:c r="M118" s="56" t="str">
        <x:f>IF(OR(E118="",E118=0,I118=""),"",1000*I118/E118)</x:f>
      </x:c>
      <x:c r="N118" s="56" t="str">
        <x:f>IF(OR(E118="",E118=0,K118=""),"",1000*K118/E118)</x:f>
      </x:c>
      <x:c r="O118" s="56" t="str">
        <x:f>IF(OR(E118="",E118=0,J118=""),"",1000*J118/E118)</x:f>
      </x:c>
      <x:c r="P118" s="36"/>
      <x:c r="Q118" s="36"/>
    </x:row>
    <x:row r="119" ht="42" customHeight="1">
      <x:c r="A119" s="29" t="str">
        <x:v>BTB-118</x:v>
      </x:c>
      <x:c r="B119" s="62" t="n">
        <x:v>46440</x:v>
      </x:c>
      <x:c r="C119" s="54"/>
      <x:c r="D119" s="55"/>
      <x:c r="E119" s="55"/>
      <x:c r="F119" s="55"/>
      <x:c r="G119" s="55"/>
      <x:c r="H119" s="55"/>
      <x:c r="I119" s="55"/>
      <x:c r="J119" s="55"/>
      <x:c r="K119" s="55"/>
      <x:c r="L119" s="56" t="str">
        <x:f>IF(OR(E119="",E119=0,H119=""),"",1000*H119/E119)</x:f>
      </x:c>
      <x:c r="M119" s="56" t="str">
        <x:f>IF(OR(E119="",E119=0,I119=""),"",1000*I119/E119)</x:f>
      </x:c>
      <x:c r="N119" s="56" t="str">
        <x:f>IF(OR(E119="",E119=0,K119=""),"",1000*K119/E119)</x:f>
      </x:c>
      <x:c r="O119" s="56" t="str">
        <x:f>IF(OR(E119="",E119=0,J119=""),"",1000*J119/E119)</x:f>
      </x:c>
      <x:c r="P119" s="36"/>
      <x:c r="Q119" s="36"/>
    </x:row>
    <x:row r="120" ht="42" customHeight="1">
      <x:c r="A120" s="29" t="str">
        <x:v>BTB-119</x:v>
      </x:c>
      <x:c r="B120" s="62" t="n">
        <x:v>46441</x:v>
      </x:c>
      <x:c r="C120" s="54"/>
      <x:c r="D120" s="55"/>
      <x:c r="E120" s="55"/>
      <x:c r="F120" s="55"/>
      <x:c r="G120" s="55"/>
      <x:c r="H120" s="55"/>
      <x:c r="I120" s="55"/>
      <x:c r="J120" s="55"/>
      <x:c r="K120" s="55"/>
      <x:c r="L120" s="56" t="str">
        <x:f>IF(OR(E120="",E120=0,H120=""),"",1000*H120/E120)</x:f>
      </x:c>
      <x:c r="M120" s="56" t="str">
        <x:f>IF(OR(E120="",E120=0,I120=""),"",1000*I120/E120)</x:f>
      </x:c>
      <x:c r="N120" s="56" t="str">
        <x:f>IF(OR(E120="",E120=0,K120=""),"",1000*K120/E120)</x:f>
      </x:c>
      <x:c r="O120" s="56" t="str">
        <x:f>IF(OR(E120="",E120=0,J120=""),"",1000*J120/E120)</x:f>
      </x:c>
      <x:c r="P120" s="36"/>
      <x:c r="Q120" s="36"/>
    </x:row>
    <x:row r="121" ht="42" customHeight="1">
      <x:c r="A121" s="29" t="str">
        <x:v>BTB-120</x:v>
      </x:c>
      <x:c r="B121" s="62" t="n">
        <x:v>46442</x:v>
      </x:c>
      <x:c r="C121" s="54"/>
      <x:c r="D121" s="55"/>
      <x:c r="E121" s="55"/>
      <x:c r="F121" s="55"/>
      <x:c r="G121" s="55"/>
      <x:c r="H121" s="55"/>
      <x:c r="I121" s="55"/>
      <x:c r="J121" s="55"/>
      <x:c r="K121" s="55"/>
      <x:c r="L121" s="56" t="str">
        <x:f>IF(OR(E121="",E121=0,H121=""),"",1000*H121/E121)</x:f>
      </x:c>
      <x:c r="M121" s="56" t="str">
        <x:f>IF(OR(E121="",E121=0,I121=""),"",1000*I121/E121)</x:f>
      </x:c>
      <x:c r="N121" s="56" t="str">
        <x:f>IF(OR(E121="",E121=0,K121=""),"",1000*K121/E121)</x:f>
      </x:c>
      <x:c r="O121" s="56" t="str">
        <x:f>IF(OR(E121="",E121=0,J121=""),"",1000*J121/E121)</x:f>
      </x:c>
      <x:c r="P121" s="36"/>
      <x:c r="Q121" s="36"/>
    </x:row>
    <x:row r="122" ht="42" customHeight="1">
      <x:c r="A122" s="29" t="str">
        <x:v>BTB-121</x:v>
      </x:c>
      <x:c r="B122" s="62" t="n">
        <x:v>46443</x:v>
      </x:c>
      <x:c r="C122" s="54"/>
      <x:c r="D122" s="55"/>
      <x:c r="E122" s="55"/>
      <x:c r="F122" s="55"/>
      <x:c r="G122" s="55"/>
      <x:c r="H122" s="55"/>
      <x:c r="I122" s="55"/>
      <x:c r="J122" s="55"/>
      <x:c r="K122" s="55"/>
      <x:c r="L122" s="56" t="str">
        <x:f>IF(OR(E122="",E122=0,H122=""),"",1000*H122/E122)</x:f>
      </x:c>
      <x:c r="M122" s="56" t="str">
        <x:f>IF(OR(E122="",E122=0,I122=""),"",1000*I122/E122)</x:f>
      </x:c>
      <x:c r="N122" s="56" t="str">
        <x:f>IF(OR(E122="",E122=0,K122=""),"",1000*K122/E122)</x:f>
      </x:c>
      <x:c r="O122" s="56" t="str">
        <x:f>IF(OR(E122="",E122=0,J122=""),"",1000*J122/E122)</x:f>
      </x:c>
      <x:c r="P122" s="36"/>
      <x:c r="Q122" s="36"/>
    </x:row>
    <x:row r="123" ht="42" customHeight="1">
      <x:c r="A123" s="29" t="str">
        <x:v>BTB-122</x:v>
      </x:c>
      <x:c r="B123" s="62" t="n">
        <x:v>46444</x:v>
      </x:c>
      <x:c r="C123" s="54"/>
      <x:c r="D123" s="55"/>
      <x:c r="E123" s="55"/>
      <x:c r="F123" s="55"/>
      <x:c r="G123" s="55"/>
      <x:c r="H123" s="55"/>
      <x:c r="I123" s="55"/>
      <x:c r="J123" s="55"/>
      <x:c r="K123" s="55"/>
      <x:c r="L123" s="56" t="str">
        <x:f>IF(OR(E123="",E123=0,H123=""),"",1000*H123/E123)</x:f>
      </x:c>
      <x:c r="M123" s="56" t="str">
        <x:f>IF(OR(E123="",E123=0,I123=""),"",1000*I123/E123)</x:f>
      </x:c>
      <x:c r="N123" s="56" t="str">
        <x:f>IF(OR(E123="",E123=0,K123=""),"",1000*K123/E123)</x:f>
      </x:c>
      <x:c r="O123" s="56" t="str">
        <x:f>IF(OR(E123="",E123=0,J123=""),"",1000*J123/E123)</x:f>
      </x:c>
      <x:c r="P123" s="36"/>
      <x:c r="Q123" s="36"/>
    </x:row>
    <x:row r="124" ht="42" customHeight="1">
      <x:c r="A124" s="29" t="str">
        <x:v>BTB-123</x:v>
      </x:c>
      <x:c r="B124" s="62" t="n">
        <x:v>46445</x:v>
      </x:c>
      <x:c r="C124" s="54"/>
      <x:c r="D124" s="55"/>
      <x:c r="E124" s="55"/>
      <x:c r="F124" s="55"/>
      <x:c r="G124" s="55"/>
      <x:c r="H124" s="55"/>
      <x:c r="I124" s="55"/>
      <x:c r="J124" s="55"/>
      <x:c r="K124" s="55"/>
      <x:c r="L124" s="56" t="str">
        <x:f>IF(OR(E124="",E124=0,H124=""),"",1000*H124/E124)</x:f>
      </x:c>
      <x:c r="M124" s="56" t="str">
        <x:f>IF(OR(E124="",E124=0,I124=""),"",1000*I124/E124)</x:f>
      </x:c>
      <x:c r="N124" s="56" t="str">
        <x:f>IF(OR(E124="",E124=0,K124=""),"",1000*K124/E124)</x:f>
      </x:c>
      <x:c r="O124" s="56" t="str">
        <x:f>IF(OR(E124="",E124=0,J124=""),"",1000*J124/E124)</x:f>
      </x:c>
      <x:c r="P124" s="36"/>
      <x:c r="Q124" s="36"/>
    </x:row>
    <x:row r="125" ht="42" customHeight="1">
      <x:c r="A125" s="29" t="str">
        <x:v>BTB-124</x:v>
      </x:c>
      <x:c r="B125" s="62" t="n">
        <x:v>46446</x:v>
      </x:c>
      <x:c r="C125" s="54"/>
      <x:c r="D125" s="55"/>
      <x:c r="E125" s="55"/>
      <x:c r="F125" s="55"/>
      <x:c r="G125" s="55"/>
      <x:c r="H125" s="55"/>
      <x:c r="I125" s="55"/>
      <x:c r="J125" s="55"/>
      <x:c r="K125" s="55"/>
      <x:c r="L125" s="56" t="str">
        <x:f>IF(OR(E125="",E125=0,H125=""),"",1000*H125/E125)</x:f>
      </x:c>
      <x:c r="M125" s="56" t="str">
        <x:f>IF(OR(E125="",E125=0,I125=""),"",1000*I125/E125)</x:f>
      </x:c>
      <x:c r="N125" s="56" t="str">
        <x:f>IF(OR(E125="",E125=0,K125=""),"",1000*K125/E125)</x:f>
      </x:c>
      <x:c r="O125" s="56" t="str">
        <x:f>IF(OR(E125="",E125=0,J125=""),"",1000*J125/E125)</x:f>
      </x:c>
      <x:c r="P125" s="36"/>
      <x:c r="Q125" s="36"/>
    </x:row>
    <x:row r="126" ht="42" customHeight="1">
      <x:c r="A126" s="29" t="str">
        <x:v>BTB-125</x:v>
      </x:c>
      <x:c r="B126" s="62" t="n">
        <x:v>46447</x:v>
      </x:c>
      <x:c r="C126" s="54"/>
      <x:c r="D126" s="55"/>
      <x:c r="E126" s="55"/>
      <x:c r="F126" s="55"/>
      <x:c r="G126" s="55"/>
      <x:c r="H126" s="55"/>
      <x:c r="I126" s="55"/>
      <x:c r="J126" s="55"/>
      <x:c r="K126" s="55"/>
      <x:c r="L126" s="56" t="str">
        <x:f>IF(OR(E126="",E126=0,H126=""),"",1000*H126/E126)</x:f>
      </x:c>
      <x:c r="M126" s="56" t="str">
        <x:f>IF(OR(E126="",E126=0,I126=""),"",1000*I126/E126)</x:f>
      </x:c>
      <x:c r="N126" s="56" t="str">
        <x:f>IF(OR(E126="",E126=0,K126=""),"",1000*K126/E126)</x:f>
      </x:c>
      <x:c r="O126" s="56" t="str">
        <x:f>IF(OR(E126="",E126=0,J126=""),"",1000*J126/E126)</x:f>
      </x:c>
      <x:c r="P126" s="36"/>
      <x:c r="Q126" s="36"/>
    </x:row>
    <x:row r="127" ht="42" customHeight="1">
      <x:c r="A127" s="29" t="str">
        <x:v>BTB-126</x:v>
      </x:c>
      <x:c r="B127" s="62" t="n">
        <x:v>46448</x:v>
      </x:c>
      <x:c r="C127" s="54"/>
      <x:c r="D127" s="55"/>
      <x:c r="E127" s="55"/>
      <x:c r="F127" s="55"/>
      <x:c r="G127" s="55"/>
      <x:c r="H127" s="55"/>
      <x:c r="I127" s="55"/>
      <x:c r="J127" s="55"/>
      <x:c r="K127" s="55"/>
      <x:c r="L127" s="56" t="str">
        <x:f>IF(OR(E127="",E127=0,H127=""),"",1000*H127/E127)</x:f>
      </x:c>
      <x:c r="M127" s="56" t="str">
        <x:f>IF(OR(E127="",E127=0,I127=""),"",1000*I127/E127)</x:f>
      </x:c>
      <x:c r="N127" s="56" t="str">
        <x:f>IF(OR(E127="",E127=0,K127=""),"",1000*K127/E127)</x:f>
      </x:c>
      <x:c r="O127" s="56" t="str">
        <x:f>IF(OR(E127="",E127=0,J127=""),"",1000*J127/E127)</x:f>
      </x:c>
      <x:c r="P127" s="36"/>
      <x:c r="Q127" s="36"/>
    </x:row>
    <x:row r="128" ht="42" customHeight="1">
      <x:c r="A128" s="29" t="str">
        <x:v>BTB-127</x:v>
      </x:c>
      <x:c r="B128" s="62" t="n">
        <x:v>46449</x:v>
      </x:c>
      <x:c r="C128" s="54"/>
      <x:c r="D128" s="55"/>
      <x:c r="E128" s="55"/>
      <x:c r="F128" s="55"/>
      <x:c r="G128" s="55"/>
      <x:c r="H128" s="55"/>
      <x:c r="I128" s="55"/>
      <x:c r="J128" s="55"/>
      <x:c r="K128" s="55"/>
      <x:c r="L128" s="56" t="str">
        <x:f>IF(OR(E128="",E128=0,H128=""),"",1000*H128/E128)</x:f>
      </x:c>
      <x:c r="M128" s="56" t="str">
        <x:f>IF(OR(E128="",E128=0,I128=""),"",1000*I128/E128)</x:f>
      </x:c>
      <x:c r="N128" s="56" t="str">
        <x:f>IF(OR(E128="",E128=0,K128=""),"",1000*K128/E128)</x:f>
      </x:c>
      <x:c r="O128" s="56" t="str">
        <x:f>IF(OR(E128="",E128=0,J128=""),"",1000*J128/E128)</x:f>
      </x:c>
      <x:c r="P128" s="36"/>
      <x:c r="Q128" s="36"/>
    </x:row>
    <x:row r="129" ht="42" customHeight="1">
      <x:c r="A129" s="29" t="str">
        <x:v>BTB-128</x:v>
      </x:c>
      <x:c r="B129" s="62" t="n">
        <x:v>46450</x:v>
      </x:c>
      <x:c r="C129" s="54"/>
      <x:c r="D129" s="55"/>
      <x:c r="E129" s="55"/>
      <x:c r="F129" s="55"/>
      <x:c r="G129" s="55"/>
      <x:c r="H129" s="55"/>
      <x:c r="I129" s="55"/>
      <x:c r="J129" s="55"/>
      <x:c r="K129" s="55"/>
      <x:c r="L129" s="56" t="str">
        <x:f>IF(OR(E129="",E129=0,H129=""),"",1000*H129/E129)</x:f>
      </x:c>
      <x:c r="M129" s="56" t="str">
        <x:f>IF(OR(E129="",E129=0,I129=""),"",1000*I129/E129)</x:f>
      </x:c>
      <x:c r="N129" s="56" t="str">
        <x:f>IF(OR(E129="",E129=0,K129=""),"",1000*K129/E129)</x:f>
      </x:c>
      <x:c r="O129" s="56" t="str">
        <x:f>IF(OR(E129="",E129=0,J129=""),"",1000*J129/E129)</x:f>
      </x:c>
      <x:c r="P129" s="36"/>
      <x:c r="Q129" s="36"/>
    </x:row>
    <x:row r="130" ht="42" customHeight="1">
      <x:c r="A130" s="29" t="str">
        <x:v>BTB-129</x:v>
      </x:c>
      <x:c r="B130" s="62" t="n">
        <x:v>46451</x:v>
      </x:c>
      <x:c r="C130" s="54"/>
      <x:c r="D130" s="55"/>
      <x:c r="E130" s="55"/>
      <x:c r="F130" s="55"/>
      <x:c r="G130" s="55"/>
      <x:c r="H130" s="55"/>
      <x:c r="I130" s="55"/>
      <x:c r="J130" s="55"/>
      <x:c r="K130" s="55"/>
      <x:c r="L130" s="56" t="str">
        <x:f>IF(OR(E130="",E130=0,H130=""),"",1000*H130/E130)</x:f>
      </x:c>
      <x:c r="M130" s="56" t="str">
        <x:f>IF(OR(E130="",E130=0,I130=""),"",1000*I130/E130)</x:f>
      </x:c>
      <x:c r="N130" s="56" t="str">
        <x:f>IF(OR(E130="",E130=0,K130=""),"",1000*K130/E130)</x:f>
      </x:c>
      <x:c r="O130" s="56" t="str">
        <x:f>IF(OR(E130="",E130=0,J130=""),"",1000*J130/E130)</x:f>
      </x:c>
      <x:c r="P130" s="36"/>
      <x:c r="Q130" s="36"/>
    </x:row>
    <x:row r="131" ht="42" customHeight="1">
      <x:c r="A131" s="29" t="str">
        <x:v>BTB-130</x:v>
      </x:c>
      <x:c r="B131" s="62" t="n">
        <x:v>46452</x:v>
      </x:c>
      <x:c r="C131" s="54"/>
      <x:c r="D131" s="55"/>
      <x:c r="E131" s="55"/>
      <x:c r="F131" s="55"/>
      <x:c r="G131" s="55"/>
      <x:c r="H131" s="55"/>
      <x:c r="I131" s="55"/>
      <x:c r="J131" s="55"/>
      <x:c r="K131" s="55"/>
      <x:c r="L131" s="56" t="str">
        <x:f>IF(OR(E131="",E131=0,H131=""),"",1000*H131/E131)</x:f>
      </x:c>
      <x:c r="M131" s="56" t="str">
        <x:f>IF(OR(E131="",E131=0,I131=""),"",1000*I131/E131)</x:f>
      </x:c>
      <x:c r="N131" s="56" t="str">
        <x:f>IF(OR(E131="",E131=0,K131=""),"",1000*K131/E131)</x:f>
      </x:c>
      <x:c r="O131" s="56" t="str">
        <x:f>IF(OR(E131="",E131=0,J131=""),"",1000*J131/E131)</x:f>
      </x:c>
      <x:c r="P131" s="36"/>
      <x:c r="Q131" s="36"/>
    </x:row>
    <x:row r="132" ht="42" customHeight="1">
      <x:c r="A132" s="29" t="str">
        <x:v>BTB-131</x:v>
      </x:c>
      <x:c r="B132" s="62" t="n">
        <x:v>46453</x:v>
      </x:c>
      <x:c r="C132" s="54"/>
      <x:c r="D132" s="55"/>
      <x:c r="E132" s="55"/>
      <x:c r="F132" s="55"/>
      <x:c r="G132" s="55"/>
      <x:c r="H132" s="55"/>
      <x:c r="I132" s="55"/>
      <x:c r="J132" s="55"/>
      <x:c r="K132" s="55"/>
      <x:c r="L132" s="56" t="str">
        <x:f>IF(OR(E132="",E132=0,H132=""),"",1000*H132/E132)</x:f>
      </x:c>
      <x:c r="M132" s="56" t="str">
        <x:f>IF(OR(E132="",E132=0,I132=""),"",1000*I132/E132)</x:f>
      </x:c>
      <x:c r="N132" s="56" t="str">
        <x:f>IF(OR(E132="",E132=0,K132=""),"",1000*K132/E132)</x:f>
      </x:c>
      <x:c r="O132" s="56" t="str">
        <x:f>IF(OR(E132="",E132=0,J132=""),"",1000*J132/E132)</x:f>
      </x:c>
      <x:c r="P132" s="36"/>
      <x:c r="Q132" s="36"/>
    </x:row>
    <x:row r="133" ht="42" customHeight="1">
      <x:c r="A133" s="29" t="str">
        <x:v>BTB-132</x:v>
      </x:c>
      <x:c r="B133" s="62" t="n">
        <x:v>46454</x:v>
      </x:c>
      <x:c r="C133" s="54"/>
      <x:c r="D133" s="55"/>
      <x:c r="E133" s="55"/>
      <x:c r="F133" s="55"/>
      <x:c r="G133" s="55"/>
      <x:c r="H133" s="55"/>
      <x:c r="I133" s="55"/>
      <x:c r="J133" s="55"/>
      <x:c r="K133" s="55"/>
      <x:c r="L133" s="56" t="str">
        <x:f>IF(OR(E133="",E133=0,H133=""),"",1000*H133/E133)</x:f>
      </x:c>
      <x:c r="M133" s="56" t="str">
        <x:f>IF(OR(E133="",E133=0,I133=""),"",1000*I133/E133)</x:f>
      </x:c>
      <x:c r="N133" s="56" t="str">
        <x:f>IF(OR(E133="",E133=0,K133=""),"",1000*K133/E133)</x:f>
      </x:c>
      <x:c r="O133" s="56" t="str">
        <x:f>IF(OR(E133="",E133=0,J133=""),"",1000*J133/E133)</x:f>
      </x:c>
      <x:c r="P133" s="36"/>
      <x:c r="Q133" s="36"/>
    </x:row>
    <x:row r="134" ht="42" customHeight="1">
      <x:c r="A134" s="29" t="str">
        <x:v>BTB-133</x:v>
      </x:c>
      <x:c r="B134" s="62" t="n">
        <x:v>46455</x:v>
      </x:c>
      <x:c r="C134" s="54"/>
      <x:c r="D134" s="55"/>
      <x:c r="E134" s="55"/>
      <x:c r="F134" s="55"/>
      <x:c r="G134" s="55"/>
      <x:c r="H134" s="55"/>
      <x:c r="I134" s="55"/>
      <x:c r="J134" s="55"/>
      <x:c r="K134" s="55"/>
      <x:c r="L134" s="56" t="str">
        <x:f>IF(OR(E134="",E134=0,H134=""),"",1000*H134/E134)</x:f>
      </x:c>
      <x:c r="M134" s="56" t="str">
        <x:f>IF(OR(E134="",E134=0,I134=""),"",1000*I134/E134)</x:f>
      </x:c>
      <x:c r="N134" s="56" t="str">
        <x:f>IF(OR(E134="",E134=0,K134=""),"",1000*K134/E134)</x:f>
      </x:c>
      <x:c r="O134" s="56" t="str">
        <x:f>IF(OR(E134="",E134=0,J134=""),"",1000*J134/E134)</x:f>
      </x:c>
      <x:c r="P134" s="36"/>
      <x:c r="Q134" s="36"/>
    </x:row>
    <x:row r="135" ht="42" customHeight="1">
      <x:c r="A135" s="29" t="str">
        <x:v>BTB-134</x:v>
      </x:c>
      <x:c r="B135" s="62" t="n">
        <x:v>46456</x:v>
      </x:c>
      <x:c r="C135" s="54"/>
      <x:c r="D135" s="55"/>
      <x:c r="E135" s="55"/>
      <x:c r="F135" s="55"/>
      <x:c r="G135" s="55"/>
      <x:c r="H135" s="55"/>
      <x:c r="I135" s="55"/>
      <x:c r="J135" s="55"/>
      <x:c r="K135" s="55"/>
      <x:c r="L135" s="56" t="str">
        <x:f>IF(OR(E135="",E135=0,H135=""),"",1000*H135/E135)</x:f>
      </x:c>
      <x:c r="M135" s="56" t="str">
        <x:f>IF(OR(E135="",E135=0,I135=""),"",1000*I135/E135)</x:f>
      </x:c>
      <x:c r="N135" s="56" t="str">
        <x:f>IF(OR(E135="",E135=0,K135=""),"",1000*K135/E135)</x:f>
      </x:c>
      <x:c r="O135" s="56" t="str">
        <x:f>IF(OR(E135="",E135=0,J135=""),"",1000*J135/E135)</x:f>
      </x:c>
      <x:c r="P135" s="36"/>
      <x:c r="Q135" s="36"/>
    </x:row>
    <x:row r="136" ht="42" customHeight="1">
      <x:c r="A136" s="29" t="str">
        <x:v>BTB-135</x:v>
      </x:c>
      <x:c r="B136" s="62" t="n">
        <x:v>46457</x:v>
      </x:c>
      <x:c r="C136" s="54"/>
      <x:c r="D136" s="55"/>
      <x:c r="E136" s="55"/>
      <x:c r="F136" s="55"/>
      <x:c r="G136" s="55"/>
      <x:c r="H136" s="55"/>
      <x:c r="I136" s="55"/>
      <x:c r="J136" s="55"/>
      <x:c r="K136" s="55"/>
      <x:c r="L136" s="56" t="str">
        <x:f>IF(OR(E136="",E136=0,H136=""),"",1000*H136/E136)</x:f>
      </x:c>
      <x:c r="M136" s="56" t="str">
        <x:f>IF(OR(E136="",E136=0,I136=""),"",1000*I136/E136)</x:f>
      </x:c>
      <x:c r="N136" s="56" t="str">
        <x:f>IF(OR(E136="",E136=0,K136=""),"",1000*K136/E136)</x:f>
      </x:c>
      <x:c r="O136" s="56" t="str">
        <x:f>IF(OR(E136="",E136=0,J136=""),"",1000*J136/E136)</x:f>
      </x:c>
      <x:c r="P136" s="36"/>
      <x:c r="Q136" s="36"/>
    </x:row>
    <x:row r="137" ht="42" customHeight="1">
      <x:c r="A137" s="29" t="str">
        <x:v>BTB-136</x:v>
      </x:c>
      <x:c r="B137" s="62" t="n">
        <x:v>46458</x:v>
      </x:c>
      <x:c r="C137" s="54"/>
      <x:c r="D137" s="55"/>
      <x:c r="E137" s="55"/>
      <x:c r="F137" s="55"/>
      <x:c r="G137" s="55"/>
      <x:c r="H137" s="55"/>
      <x:c r="I137" s="55"/>
      <x:c r="J137" s="55"/>
      <x:c r="K137" s="55"/>
      <x:c r="L137" s="56" t="str">
        <x:f>IF(OR(E137="",E137=0,H137=""),"",1000*H137/E137)</x:f>
      </x:c>
      <x:c r="M137" s="56" t="str">
        <x:f>IF(OR(E137="",E137=0,I137=""),"",1000*I137/E137)</x:f>
      </x:c>
      <x:c r="N137" s="56" t="str">
        <x:f>IF(OR(E137="",E137=0,K137=""),"",1000*K137/E137)</x:f>
      </x:c>
      <x:c r="O137" s="56" t="str">
        <x:f>IF(OR(E137="",E137=0,J137=""),"",1000*J137/E137)</x:f>
      </x:c>
      <x:c r="P137" s="36"/>
      <x:c r="Q137" s="36"/>
    </x:row>
    <x:row r="138" ht="42" customHeight="1">
      <x:c r="A138" s="29" t="str">
        <x:v>BTB-137</x:v>
      </x:c>
      <x:c r="B138" s="62" t="n">
        <x:v>46459</x:v>
      </x:c>
      <x:c r="C138" s="54"/>
      <x:c r="D138" s="55"/>
      <x:c r="E138" s="55"/>
      <x:c r="F138" s="55"/>
      <x:c r="G138" s="55"/>
      <x:c r="H138" s="55"/>
      <x:c r="I138" s="55"/>
      <x:c r="J138" s="55"/>
      <x:c r="K138" s="55"/>
      <x:c r="L138" s="56" t="str">
        <x:f>IF(OR(E138="",E138=0,H138=""),"",1000*H138/E138)</x:f>
      </x:c>
      <x:c r="M138" s="56" t="str">
        <x:f>IF(OR(E138="",E138=0,I138=""),"",1000*I138/E138)</x:f>
      </x:c>
      <x:c r="N138" s="56" t="str">
        <x:f>IF(OR(E138="",E138=0,K138=""),"",1000*K138/E138)</x:f>
      </x:c>
      <x:c r="O138" s="56" t="str">
        <x:f>IF(OR(E138="",E138=0,J138=""),"",1000*J138/E138)</x:f>
      </x:c>
      <x:c r="P138" s="36"/>
      <x:c r="Q138" s="36"/>
    </x:row>
    <x:row r="139" ht="42" customHeight="1">
      <x:c r="A139" s="29" t="str">
        <x:v>BTB-138</x:v>
      </x:c>
      <x:c r="B139" s="62" t="n">
        <x:v>46460</x:v>
      </x:c>
      <x:c r="C139" s="54"/>
      <x:c r="D139" s="55"/>
      <x:c r="E139" s="55"/>
      <x:c r="F139" s="55"/>
      <x:c r="G139" s="55"/>
      <x:c r="H139" s="55"/>
      <x:c r="I139" s="55"/>
      <x:c r="J139" s="55"/>
      <x:c r="K139" s="55"/>
      <x:c r="L139" s="56" t="str">
        <x:f>IF(OR(E139="",E139=0,H139=""),"",1000*H139/E139)</x:f>
      </x:c>
      <x:c r="M139" s="56" t="str">
        <x:f>IF(OR(E139="",E139=0,I139=""),"",1000*I139/E139)</x:f>
      </x:c>
      <x:c r="N139" s="56" t="str">
        <x:f>IF(OR(E139="",E139=0,K139=""),"",1000*K139/E139)</x:f>
      </x:c>
      <x:c r="O139" s="56" t="str">
        <x:f>IF(OR(E139="",E139=0,J139=""),"",1000*J139/E139)</x:f>
      </x:c>
      <x:c r="P139" s="36"/>
      <x:c r="Q139" s="36"/>
    </x:row>
    <x:row r="140" ht="42" customHeight="1">
      <x:c r="A140" s="29" t="str">
        <x:v>BTB-139</x:v>
      </x:c>
      <x:c r="B140" s="62" t="n">
        <x:v>46461</x:v>
      </x:c>
      <x:c r="C140" s="54"/>
      <x:c r="D140" s="55"/>
      <x:c r="E140" s="55"/>
      <x:c r="F140" s="55"/>
      <x:c r="G140" s="55"/>
      <x:c r="H140" s="55"/>
      <x:c r="I140" s="55"/>
      <x:c r="J140" s="55"/>
      <x:c r="K140" s="55"/>
      <x:c r="L140" s="56" t="str">
        <x:f>IF(OR(E140="",E140=0,H140=""),"",1000*H140/E140)</x:f>
      </x:c>
      <x:c r="M140" s="56" t="str">
        <x:f>IF(OR(E140="",E140=0,I140=""),"",1000*I140/E140)</x:f>
      </x:c>
      <x:c r="N140" s="56" t="str">
        <x:f>IF(OR(E140="",E140=0,K140=""),"",1000*K140/E140)</x:f>
      </x:c>
      <x:c r="O140" s="56" t="str">
        <x:f>IF(OR(E140="",E140=0,J140=""),"",1000*J140/E140)</x:f>
      </x:c>
      <x:c r="P140" s="36"/>
      <x:c r="Q140" s="36"/>
    </x:row>
    <x:row r="141" ht="42" customHeight="1">
      <x:c r="A141" s="29" t="str">
        <x:v>BTB-140</x:v>
      </x:c>
      <x:c r="B141" s="62" t="n">
        <x:v>46462</x:v>
      </x:c>
      <x:c r="C141" s="54"/>
      <x:c r="D141" s="55"/>
      <x:c r="E141" s="55"/>
      <x:c r="F141" s="55"/>
      <x:c r="G141" s="55"/>
      <x:c r="H141" s="55"/>
      <x:c r="I141" s="55"/>
      <x:c r="J141" s="55"/>
      <x:c r="K141" s="55"/>
      <x:c r="L141" s="56" t="str">
        <x:f>IF(OR(E141="",E141=0,H141=""),"",1000*H141/E141)</x:f>
      </x:c>
      <x:c r="M141" s="56" t="str">
        <x:f>IF(OR(E141="",E141=0,I141=""),"",1000*I141/E141)</x:f>
      </x:c>
      <x:c r="N141" s="56" t="str">
        <x:f>IF(OR(E141="",E141=0,K141=""),"",1000*K141/E141)</x:f>
      </x:c>
      <x:c r="O141" s="56" t="str">
        <x:f>IF(OR(E141="",E141=0,J141=""),"",1000*J141/E141)</x:f>
      </x:c>
      <x:c r="P141" s="36"/>
      <x:c r="Q141" s="36"/>
    </x:row>
    <x:row r="142" ht="42" customHeight="1">
      <x:c r="A142" s="29" t="str">
        <x:v>BTB-141</x:v>
      </x:c>
      <x:c r="B142" s="62" t="n">
        <x:v>46463</x:v>
      </x:c>
      <x:c r="C142" s="54"/>
      <x:c r="D142" s="55"/>
      <x:c r="E142" s="55"/>
      <x:c r="F142" s="55"/>
      <x:c r="G142" s="55"/>
      <x:c r="H142" s="55"/>
      <x:c r="I142" s="55"/>
      <x:c r="J142" s="55"/>
      <x:c r="K142" s="55"/>
      <x:c r="L142" s="56" t="str">
        <x:f>IF(OR(E142="",E142=0,H142=""),"",1000*H142/E142)</x:f>
      </x:c>
      <x:c r="M142" s="56" t="str">
        <x:f>IF(OR(E142="",E142=0,I142=""),"",1000*I142/E142)</x:f>
      </x:c>
      <x:c r="N142" s="56" t="str">
        <x:f>IF(OR(E142="",E142=0,K142=""),"",1000*K142/E142)</x:f>
      </x:c>
      <x:c r="O142" s="56" t="str">
        <x:f>IF(OR(E142="",E142=0,J142=""),"",1000*J142/E142)</x:f>
      </x:c>
      <x:c r="P142" s="36"/>
      <x:c r="Q142" s="36"/>
    </x:row>
    <x:row r="143" ht="42" customHeight="1">
      <x:c r="A143" s="29" t="str">
        <x:v>BTB-142</x:v>
      </x:c>
      <x:c r="B143" s="62" t="n">
        <x:v>46464</x:v>
      </x:c>
      <x:c r="C143" s="54"/>
      <x:c r="D143" s="55"/>
      <x:c r="E143" s="55"/>
      <x:c r="F143" s="55"/>
      <x:c r="G143" s="55"/>
      <x:c r="H143" s="55"/>
      <x:c r="I143" s="55"/>
      <x:c r="J143" s="55"/>
      <x:c r="K143" s="55"/>
      <x:c r="L143" s="56" t="str">
        <x:f>IF(OR(E143="",E143=0,H143=""),"",1000*H143/E143)</x:f>
      </x:c>
      <x:c r="M143" s="56" t="str">
        <x:f>IF(OR(E143="",E143=0,I143=""),"",1000*I143/E143)</x:f>
      </x:c>
      <x:c r="N143" s="56" t="str">
        <x:f>IF(OR(E143="",E143=0,K143=""),"",1000*K143/E143)</x:f>
      </x:c>
      <x:c r="O143" s="56" t="str">
        <x:f>IF(OR(E143="",E143=0,J143=""),"",1000*J143/E143)</x:f>
      </x:c>
      <x:c r="P143" s="36"/>
      <x:c r="Q143" s="36"/>
    </x:row>
    <x:row r="144" ht="42" customHeight="1">
      <x:c r="A144" s="29" t="str">
        <x:v>BTB-143</x:v>
      </x:c>
      <x:c r="B144" s="62" t="n">
        <x:v>46465</x:v>
      </x:c>
      <x:c r="C144" s="54"/>
      <x:c r="D144" s="55"/>
      <x:c r="E144" s="55"/>
      <x:c r="F144" s="55"/>
      <x:c r="G144" s="55"/>
      <x:c r="H144" s="55"/>
      <x:c r="I144" s="55"/>
      <x:c r="J144" s="55"/>
      <x:c r="K144" s="55"/>
      <x:c r="L144" s="56" t="str">
        <x:f>IF(OR(E144="",E144=0,H144=""),"",1000*H144/E144)</x:f>
      </x:c>
      <x:c r="M144" s="56" t="str">
        <x:f>IF(OR(E144="",E144=0,I144=""),"",1000*I144/E144)</x:f>
      </x:c>
      <x:c r="N144" s="56" t="str">
        <x:f>IF(OR(E144="",E144=0,K144=""),"",1000*K144/E144)</x:f>
      </x:c>
      <x:c r="O144" s="56" t="str">
        <x:f>IF(OR(E144="",E144=0,J144=""),"",1000*J144/E144)</x:f>
      </x:c>
      <x:c r="P144" s="36"/>
      <x:c r="Q144" s="36"/>
    </x:row>
    <x:row r="145" ht="42" customHeight="1">
      <x:c r="A145" s="29" t="str">
        <x:v>BTB-144</x:v>
      </x:c>
      <x:c r="B145" s="62" t="n">
        <x:v>46466</x:v>
      </x:c>
      <x:c r="C145" s="54"/>
      <x:c r="D145" s="55"/>
      <x:c r="E145" s="55"/>
      <x:c r="F145" s="55"/>
      <x:c r="G145" s="55"/>
      <x:c r="H145" s="55"/>
      <x:c r="I145" s="55"/>
      <x:c r="J145" s="55"/>
      <x:c r="K145" s="55"/>
      <x:c r="L145" s="56" t="str">
        <x:f>IF(OR(E145="",E145=0,H145=""),"",1000*H145/E145)</x:f>
      </x:c>
      <x:c r="M145" s="56" t="str">
        <x:f>IF(OR(E145="",E145=0,I145=""),"",1000*I145/E145)</x:f>
      </x:c>
      <x:c r="N145" s="56" t="str">
        <x:f>IF(OR(E145="",E145=0,K145=""),"",1000*K145/E145)</x:f>
      </x:c>
      <x:c r="O145" s="56" t="str">
        <x:f>IF(OR(E145="",E145=0,J145=""),"",1000*J145/E145)</x:f>
      </x:c>
      <x:c r="P145" s="36"/>
      <x:c r="Q145" s="36"/>
    </x:row>
    <x:row r="146" ht="42" customHeight="1">
      <x:c r="A146" s="29" t="str">
        <x:v>BTB-145</x:v>
      </x:c>
      <x:c r="B146" s="62" t="n">
        <x:v>46467</x:v>
      </x:c>
      <x:c r="C146" s="54"/>
      <x:c r="D146" s="55"/>
      <x:c r="E146" s="55"/>
      <x:c r="F146" s="55"/>
      <x:c r="G146" s="55"/>
      <x:c r="H146" s="55"/>
      <x:c r="I146" s="55"/>
      <x:c r="J146" s="55"/>
      <x:c r="K146" s="55"/>
      <x:c r="L146" s="56" t="str">
        <x:f>IF(OR(E146="",E146=0,H146=""),"",1000*H146/E146)</x:f>
      </x:c>
      <x:c r="M146" s="56" t="str">
        <x:f>IF(OR(E146="",E146=0,I146=""),"",1000*I146/E146)</x:f>
      </x:c>
      <x:c r="N146" s="56" t="str">
        <x:f>IF(OR(E146="",E146=0,K146=""),"",1000*K146/E146)</x:f>
      </x:c>
      <x:c r="O146" s="56" t="str">
        <x:f>IF(OR(E146="",E146=0,J146=""),"",1000*J146/E146)</x:f>
      </x:c>
      <x:c r="P146" s="36"/>
      <x:c r="Q146" s="36"/>
    </x:row>
    <x:row r="147" ht="42" customHeight="1">
      <x:c r="A147" s="29" t="str">
        <x:v>BTB-146</x:v>
      </x:c>
      <x:c r="B147" s="62" t="n">
        <x:v>46468</x:v>
      </x:c>
      <x:c r="C147" s="54"/>
      <x:c r="D147" s="55"/>
      <x:c r="E147" s="55"/>
      <x:c r="F147" s="55"/>
      <x:c r="G147" s="55"/>
      <x:c r="H147" s="55"/>
      <x:c r="I147" s="55"/>
      <x:c r="J147" s="55"/>
      <x:c r="K147" s="55"/>
      <x:c r="L147" s="56" t="str">
        <x:f>IF(OR(E147="",E147=0,H147=""),"",1000*H147/E147)</x:f>
      </x:c>
      <x:c r="M147" s="56" t="str">
        <x:f>IF(OR(E147="",E147=0,I147=""),"",1000*I147/E147)</x:f>
      </x:c>
      <x:c r="N147" s="56" t="str">
        <x:f>IF(OR(E147="",E147=0,K147=""),"",1000*K147/E147)</x:f>
      </x:c>
      <x:c r="O147" s="56" t="str">
        <x:f>IF(OR(E147="",E147=0,J147=""),"",1000*J147/E147)</x:f>
      </x:c>
      <x:c r="P147" s="36"/>
      <x:c r="Q147" s="36"/>
    </x:row>
    <x:row r="148" ht="42" customHeight="1">
      <x:c r="A148" s="29" t="str">
        <x:v>BTB-147</x:v>
      </x:c>
      <x:c r="B148" s="62" t="n">
        <x:v>46469</x:v>
      </x:c>
      <x:c r="C148" s="54"/>
      <x:c r="D148" s="55"/>
      <x:c r="E148" s="55"/>
      <x:c r="F148" s="55"/>
      <x:c r="G148" s="55"/>
      <x:c r="H148" s="55"/>
      <x:c r="I148" s="55"/>
      <x:c r="J148" s="55"/>
      <x:c r="K148" s="55"/>
      <x:c r="L148" s="56" t="str">
        <x:f>IF(OR(E148="",E148=0,H148=""),"",1000*H148/E148)</x:f>
      </x:c>
      <x:c r="M148" s="56" t="str">
        <x:f>IF(OR(E148="",E148=0,I148=""),"",1000*I148/E148)</x:f>
      </x:c>
      <x:c r="N148" s="56" t="str">
        <x:f>IF(OR(E148="",E148=0,K148=""),"",1000*K148/E148)</x:f>
      </x:c>
      <x:c r="O148" s="56" t="str">
        <x:f>IF(OR(E148="",E148=0,J148=""),"",1000*J148/E148)</x:f>
      </x:c>
      <x:c r="P148" s="36"/>
      <x:c r="Q148" s="36"/>
    </x:row>
    <x:row r="149" ht="42" customHeight="1">
      <x:c r="A149" s="29" t="str">
        <x:v>BTB-148</x:v>
      </x:c>
      <x:c r="B149" s="62" t="n">
        <x:v>46470</x:v>
      </x:c>
      <x:c r="C149" s="54"/>
      <x:c r="D149" s="55"/>
      <x:c r="E149" s="55"/>
      <x:c r="F149" s="55"/>
      <x:c r="G149" s="55"/>
      <x:c r="H149" s="55"/>
      <x:c r="I149" s="55"/>
      <x:c r="J149" s="55"/>
      <x:c r="K149" s="55"/>
      <x:c r="L149" s="56" t="str">
        <x:f>IF(OR(E149="",E149=0,H149=""),"",1000*H149/E149)</x:f>
      </x:c>
      <x:c r="M149" s="56" t="str">
        <x:f>IF(OR(E149="",E149=0,I149=""),"",1000*I149/E149)</x:f>
      </x:c>
      <x:c r="N149" s="56" t="str">
        <x:f>IF(OR(E149="",E149=0,K149=""),"",1000*K149/E149)</x:f>
      </x:c>
      <x:c r="O149" s="56" t="str">
        <x:f>IF(OR(E149="",E149=0,J149=""),"",1000*J149/E149)</x:f>
      </x:c>
      <x:c r="P149" s="36"/>
      <x:c r="Q149" s="36"/>
    </x:row>
    <x:row r="150" ht="42" customHeight="1">
      <x:c r="A150" s="29" t="str">
        <x:v>BTB-149</x:v>
      </x:c>
      <x:c r="B150" s="62" t="n">
        <x:v>46471</x:v>
      </x:c>
      <x:c r="C150" s="54"/>
      <x:c r="D150" s="55"/>
      <x:c r="E150" s="55"/>
      <x:c r="F150" s="55"/>
      <x:c r="G150" s="55"/>
      <x:c r="H150" s="55"/>
      <x:c r="I150" s="55"/>
      <x:c r="J150" s="55"/>
      <x:c r="K150" s="55"/>
      <x:c r="L150" s="56" t="str">
        <x:f>IF(OR(E150="",E150=0,H150=""),"",1000*H150/E150)</x:f>
      </x:c>
      <x:c r="M150" s="56" t="str">
        <x:f>IF(OR(E150="",E150=0,I150=""),"",1000*I150/E150)</x:f>
      </x:c>
      <x:c r="N150" s="56" t="str">
        <x:f>IF(OR(E150="",E150=0,K150=""),"",1000*K150/E150)</x:f>
      </x:c>
      <x:c r="O150" s="56" t="str">
        <x:f>IF(OR(E150="",E150=0,J150=""),"",1000*J150/E150)</x:f>
      </x:c>
      <x:c r="P150" s="36"/>
      <x:c r="Q150" s="36"/>
    </x:row>
    <x:row r="151" ht="42" customHeight="1">
      <x:c r="A151" s="29" t="str">
        <x:v>BTB-150</x:v>
      </x:c>
      <x:c r="B151" s="62" t="n">
        <x:v>46472</x:v>
      </x:c>
      <x:c r="C151" s="54"/>
      <x:c r="D151" s="55"/>
      <x:c r="E151" s="55"/>
      <x:c r="F151" s="55"/>
      <x:c r="G151" s="55"/>
      <x:c r="H151" s="55"/>
      <x:c r="I151" s="55"/>
      <x:c r="J151" s="55"/>
      <x:c r="K151" s="55"/>
      <x:c r="L151" s="56" t="str">
        <x:f>IF(OR(E151="",E151=0,H151=""),"",1000*H151/E151)</x:f>
      </x:c>
      <x:c r="M151" s="56" t="str">
        <x:f>IF(OR(E151="",E151=0,I151=""),"",1000*I151/E151)</x:f>
      </x:c>
      <x:c r="N151" s="56" t="str">
        <x:f>IF(OR(E151="",E151=0,K151=""),"",1000*K151/E151)</x:f>
      </x:c>
      <x:c r="O151" s="56" t="str">
        <x:f>IF(OR(E151="",E151=0,J151=""),"",1000*J151/E151)</x:f>
      </x:c>
      <x:c r="P151" s="36"/>
      <x:c r="Q151" s="36"/>
    </x:row>
    <x:row r="152" ht="42" customHeight="1">
      <x:c r="A152" s="29" t="str">
        <x:v>BTB-151</x:v>
      </x:c>
      <x:c r="B152" s="62" t="n">
        <x:v>46473</x:v>
      </x:c>
      <x:c r="C152" s="54"/>
      <x:c r="D152" s="55"/>
      <x:c r="E152" s="55"/>
      <x:c r="F152" s="55"/>
      <x:c r="G152" s="55"/>
      <x:c r="H152" s="55"/>
      <x:c r="I152" s="55"/>
      <x:c r="J152" s="55"/>
      <x:c r="K152" s="55"/>
      <x:c r="L152" s="56" t="str">
        <x:f>IF(OR(E152="",E152=0,H152=""),"",1000*H152/E152)</x:f>
      </x:c>
      <x:c r="M152" s="56" t="str">
        <x:f>IF(OR(E152="",E152=0,I152=""),"",1000*I152/E152)</x:f>
      </x:c>
      <x:c r="N152" s="56" t="str">
        <x:f>IF(OR(E152="",E152=0,K152=""),"",1000*K152/E152)</x:f>
      </x:c>
      <x:c r="O152" s="56" t="str">
        <x:f>IF(OR(E152="",E152=0,J152=""),"",1000*J152/E152)</x:f>
      </x:c>
      <x:c r="P152" s="36"/>
      <x:c r="Q152" s="36"/>
    </x:row>
    <x:row r="153" ht="42" customHeight="1">
      <x:c r="A153" s="29" t="str">
        <x:v>BTB-152</x:v>
      </x:c>
      <x:c r="B153" s="62" t="n">
        <x:v>46474</x:v>
      </x:c>
      <x:c r="C153" s="54"/>
      <x:c r="D153" s="55"/>
      <x:c r="E153" s="55"/>
      <x:c r="F153" s="55"/>
      <x:c r="G153" s="55"/>
      <x:c r="H153" s="55"/>
      <x:c r="I153" s="55"/>
      <x:c r="J153" s="55"/>
      <x:c r="K153" s="55"/>
      <x:c r="L153" s="56" t="str">
        <x:f>IF(OR(E153="",E153=0,H153=""),"",1000*H153/E153)</x:f>
      </x:c>
      <x:c r="M153" s="56" t="str">
        <x:f>IF(OR(E153="",E153=0,I153=""),"",1000*I153/E153)</x:f>
      </x:c>
      <x:c r="N153" s="56" t="str">
        <x:f>IF(OR(E153="",E153=0,K153=""),"",1000*K153/E153)</x:f>
      </x:c>
      <x:c r="O153" s="56" t="str">
        <x:f>IF(OR(E153="",E153=0,J153=""),"",1000*J153/E153)</x:f>
      </x:c>
      <x:c r="P153" s="36"/>
      <x:c r="Q153" s="36"/>
    </x:row>
    <x:row r="154" ht="42" customHeight="1">
      <x:c r="A154" s="29" t="str">
        <x:v>BTB-153</x:v>
      </x:c>
      <x:c r="B154" s="62" t="n">
        <x:v>46475</x:v>
      </x:c>
      <x:c r="C154" s="54"/>
      <x:c r="D154" s="55"/>
      <x:c r="E154" s="55"/>
      <x:c r="F154" s="55"/>
      <x:c r="G154" s="55"/>
      <x:c r="H154" s="55"/>
      <x:c r="I154" s="55"/>
      <x:c r="J154" s="55"/>
      <x:c r="K154" s="55"/>
      <x:c r="L154" s="56" t="str">
        <x:f>IF(OR(E154="",E154=0,H154=""),"",1000*H154/E154)</x:f>
      </x:c>
      <x:c r="M154" s="56" t="str">
        <x:f>IF(OR(E154="",E154=0,I154=""),"",1000*I154/E154)</x:f>
      </x:c>
      <x:c r="N154" s="56" t="str">
        <x:f>IF(OR(E154="",E154=0,K154=""),"",1000*K154/E154)</x:f>
      </x:c>
      <x:c r="O154" s="56" t="str">
        <x:f>IF(OR(E154="",E154=0,J154=""),"",1000*J154/E154)</x:f>
      </x:c>
      <x:c r="P154" s="36"/>
      <x:c r="Q154" s="36"/>
    </x:row>
    <x:row r="155" ht="42" customHeight="1">
      <x:c r="A155" s="29" t="str">
        <x:v>BTB-154</x:v>
      </x:c>
      <x:c r="B155" s="62" t="n">
        <x:v>46476</x:v>
      </x:c>
      <x:c r="C155" s="54"/>
      <x:c r="D155" s="55"/>
      <x:c r="E155" s="55"/>
      <x:c r="F155" s="55"/>
      <x:c r="G155" s="55"/>
      <x:c r="H155" s="55"/>
      <x:c r="I155" s="55"/>
      <x:c r="J155" s="55"/>
      <x:c r="K155" s="55"/>
      <x:c r="L155" s="56" t="str">
        <x:f>IF(OR(E155="",E155=0,H155=""),"",1000*H155/E155)</x:f>
      </x:c>
      <x:c r="M155" s="56" t="str">
        <x:f>IF(OR(E155="",E155=0,I155=""),"",1000*I155/E155)</x:f>
      </x:c>
      <x:c r="N155" s="56" t="str">
        <x:f>IF(OR(E155="",E155=0,K155=""),"",1000*K155/E155)</x:f>
      </x:c>
      <x:c r="O155" s="56" t="str">
        <x:f>IF(OR(E155="",E155=0,J155=""),"",1000*J155/E155)</x:f>
      </x:c>
      <x:c r="P155" s="36"/>
      <x:c r="Q155" s="36"/>
    </x:row>
    <x:row r="156" ht="42" customHeight="1">
      <x:c r="A156" s="29" t="str">
        <x:v>BTB-155</x:v>
      </x:c>
      <x:c r="B156" s="62" t="n">
        <x:v>46477</x:v>
      </x:c>
      <x:c r="C156" s="54"/>
      <x:c r="D156" s="55"/>
      <x:c r="E156" s="55"/>
      <x:c r="F156" s="55"/>
      <x:c r="G156" s="55"/>
      <x:c r="H156" s="55"/>
      <x:c r="I156" s="55"/>
      <x:c r="J156" s="55"/>
      <x:c r="K156" s="55"/>
      <x:c r="L156" s="56" t="str">
        <x:f>IF(OR(E156="",E156=0,H156=""),"",1000*H156/E156)</x:f>
      </x:c>
      <x:c r="M156" s="56" t="str">
        <x:f>IF(OR(E156="",E156=0,I156=""),"",1000*I156/E156)</x:f>
      </x:c>
      <x:c r="N156" s="56" t="str">
        <x:f>IF(OR(E156="",E156=0,K156=""),"",1000*K156/E156)</x:f>
      </x:c>
      <x:c r="O156" s="56" t="str">
        <x:f>IF(OR(E156="",E156=0,J156=""),"",1000*J156/E156)</x:f>
      </x:c>
      <x:c r="P156" s="36"/>
      <x:c r="Q156" s="36"/>
    </x:row>
    <x:row r="157" ht="42" customHeight="1">
      <x:c r="A157" s="29" t="str">
        <x:v>BTB-156</x:v>
      </x:c>
      <x:c r="B157" s="62" t="n">
        <x:v>46478</x:v>
      </x:c>
      <x:c r="C157" s="54"/>
      <x:c r="D157" s="55"/>
      <x:c r="E157" s="55"/>
      <x:c r="F157" s="55"/>
      <x:c r="G157" s="55"/>
      <x:c r="H157" s="55"/>
      <x:c r="I157" s="55"/>
      <x:c r="J157" s="55"/>
      <x:c r="K157" s="55"/>
      <x:c r="L157" s="56" t="str">
        <x:f>IF(OR(E157="",E157=0,H157=""),"",1000*H157/E157)</x:f>
      </x:c>
      <x:c r="M157" s="56" t="str">
        <x:f>IF(OR(E157="",E157=0,I157=""),"",1000*I157/E157)</x:f>
      </x:c>
      <x:c r="N157" s="56" t="str">
        <x:f>IF(OR(E157="",E157=0,K157=""),"",1000*K157/E157)</x:f>
      </x:c>
      <x:c r="O157" s="56" t="str">
        <x:f>IF(OR(E157="",E157=0,J157=""),"",1000*J157/E157)</x:f>
      </x:c>
      <x:c r="P157" s="36"/>
      <x:c r="Q157" s="36"/>
    </x:row>
    <x:row r="158" ht="42" customHeight="1">
      <x:c r="A158" s="29" t="str">
        <x:v>BTB-157</x:v>
      </x:c>
      <x:c r="B158" s="62" t="n">
        <x:v>46479</x:v>
      </x:c>
      <x:c r="C158" s="54"/>
      <x:c r="D158" s="55"/>
      <x:c r="E158" s="55"/>
      <x:c r="F158" s="55"/>
      <x:c r="G158" s="55"/>
      <x:c r="H158" s="55"/>
      <x:c r="I158" s="55"/>
      <x:c r="J158" s="55"/>
      <x:c r="K158" s="55"/>
      <x:c r="L158" s="56" t="str">
        <x:f>IF(OR(E158="",E158=0,H158=""),"",1000*H158/E158)</x:f>
      </x:c>
      <x:c r="M158" s="56" t="str">
        <x:f>IF(OR(E158="",E158=0,I158=""),"",1000*I158/E158)</x:f>
      </x:c>
      <x:c r="N158" s="56" t="str">
        <x:f>IF(OR(E158="",E158=0,K158=""),"",1000*K158/E158)</x:f>
      </x:c>
      <x:c r="O158" s="56" t="str">
        <x:f>IF(OR(E158="",E158=0,J158=""),"",1000*J158/E158)</x:f>
      </x:c>
      <x:c r="P158" s="36"/>
      <x:c r="Q158" s="36"/>
    </x:row>
    <x:row r="159" ht="42" customHeight="1">
      <x:c r="A159" s="29" t="str">
        <x:v>BTB-158</x:v>
      </x:c>
      <x:c r="B159" s="62" t="n">
        <x:v>46480</x:v>
      </x:c>
      <x:c r="C159" s="54"/>
      <x:c r="D159" s="55"/>
      <x:c r="E159" s="55"/>
      <x:c r="F159" s="55"/>
      <x:c r="G159" s="55"/>
      <x:c r="H159" s="55"/>
      <x:c r="I159" s="55"/>
      <x:c r="J159" s="55"/>
      <x:c r="K159" s="55"/>
      <x:c r="L159" s="56" t="str">
        <x:f>IF(OR(E159="",E159=0,H159=""),"",1000*H159/E159)</x:f>
      </x:c>
      <x:c r="M159" s="56" t="str">
        <x:f>IF(OR(E159="",E159=0,I159=""),"",1000*I159/E159)</x:f>
      </x:c>
      <x:c r="N159" s="56" t="str">
        <x:f>IF(OR(E159="",E159=0,K159=""),"",1000*K159/E159)</x:f>
      </x:c>
      <x:c r="O159" s="56" t="str">
        <x:f>IF(OR(E159="",E159=0,J159=""),"",1000*J159/E159)</x:f>
      </x:c>
      <x:c r="P159" s="36"/>
      <x:c r="Q159" s="36"/>
    </x:row>
    <x:row r="160" ht="42" customHeight="1">
      <x:c r="A160" s="29" t="str">
        <x:v>BTB-159</x:v>
      </x:c>
      <x:c r="B160" s="62" t="n">
        <x:v>46481</x:v>
      </x:c>
      <x:c r="C160" s="54"/>
      <x:c r="D160" s="55"/>
      <x:c r="E160" s="55"/>
      <x:c r="F160" s="55"/>
      <x:c r="G160" s="55"/>
      <x:c r="H160" s="55"/>
      <x:c r="I160" s="55"/>
      <x:c r="J160" s="55"/>
      <x:c r="K160" s="55"/>
      <x:c r="L160" s="56" t="str">
        <x:f>IF(OR(E160="",E160=0,H160=""),"",1000*H160/E160)</x:f>
      </x:c>
      <x:c r="M160" s="56" t="str">
        <x:f>IF(OR(E160="",E160=0,I160=""),"",1000*I160/E160)</x:f>
      </x:c>
      <x:c r="N160" s="56" t="str">
        <x:f>IF(OR(E160="",E160=0,K160=""),"",1000*K160/E160)</x:f>
      </x:c>
      <x:c r="O160" s="56" t="str">
        <x:f>IF(OR(E160="",E160=0,J160=""),"",1000*J160/E160)</x:f>
      </x:c>
      <x:c r="P160" s="36"/>
      <x:c r="Q160" s="36"/>
    </x:row>
    <x:row r="161" ht="42" customHeight="1">
      <x:c r="A161" s="29" t="str">
        <x:v>BTB-160</x:v>
      </x:c>
      <x:c r="B161" s="62" t="n">
        <x:v>46482</x:v>
      </x:c>
      <x:c r="C161" s="54"/>
      <x:c r="D161" s="55"/>
      <x:c r="E161" s="55"/>
      <x:c r="F161" s="55"/>
      <x:c r="G161" s="55"/>
      <x:c r="H161" s="55"/>
      <x:c r="I161" s="55"/>
      <x:c r="J161" s="55"/>
      <x:c r="K161" s="55"/>
      <x:c r="L161" s="56" t="str">
        <x:f>IF(OR(E161="",E161=0,H161=""),"",1000*H161/E161)</x:f>
      </x:c>
      <x:c r="M161" s="56" t="str">
        <x:f>IF(OR(E161="",E161=0,I161=""),"",1000*I161/E161)</x:f>
      </x:c>
      <x:c r="N161" s="56" t="str">
        <x:f>IF(OR(E161="",E161=0,K161=""),"",1000*K161/E161)</x:f>
      </x:c>
      <x:c r="O161" s="56" t="str">
        <x:f>IF(OR(E161="",E161=0,J161=""),"",1000*J161/E161)</x:f>
      </x:c>
      <x:c r="P161" s="36"/>
      <x:c r="Q161" s="36"/>
    </x:row>
    <x:row r="162" ht="42" customHeight="1">
      <x:c r="A162" s="29" t="str">
        <x:v>BTB-161</x:v>
      </x:c>
      <x:c r="B162" s="62" t="n">
        <x:v>46483</x:v>
      </x:c>
      <x:c r="C162" s="54"/>
      <x:c r="D162" s="55"/>
      <x:c r="E162" s="55"/>
      <x:c r="F162" s="55"/>
      <x:c r="G162" s="55"/>
      <x:c r="H162" s="55"/>
      <x:c r="I162" s="55"/>
      <x:c r="J162" s="55"/>
      <x:c r="K162" s="55"/>
      <x:c r="L162" s="56" t="str">
        <x:f>IF(OR(E162="",E162=0,H162=""),"",1000*H162/E162)</x:f>
      </x:c>
      <x:c r="M162" s="56" t="str">
        <x:f>IF(OR(E162="",E162=0,I162=""),"",1000*I162/E162)</x:f>
      </x:c>
      <x:c r="N162" s="56" t="str">
        <x:f>IF(OR(E162="",E162=0,K162=""),"",1000*K162/E162)</x:f>
      </x:c>
      <x:c r="O162" s="56" t="str">
        <x:f>IF(OR(E162="",E162=0,J162=""),"",1000*J162/E162)</x:f>
      </x:c>
      <x:c r="P162" s="36"/>
      <x:c r="Q162" s="36"/>
    </x:row>
    <x:row r="163" ht="42" customHeight="1">
      <x:c r="A163" s="29" t="str">
        <x:v>BTB-162</x:v>
      </x:c>
      <x:c r="B163" s="62" t="n">
        <x:v>46484</x:v>
      </x:c>
      <x:c r="C163" s="54"/>
      <x:c r="D163" s="55"/>
      <x:c r="E163" s="55"/>
      <x:c r="F163" s="55"/>
      <x:c r="G163" s="55"/>
      <x:c r="H163" s="55"/>
      <x:c r="I163" s="55"/>
      <x:c r="J163" s="55"/>
      <x:c r="K163" s="55"/>
      <x:c r="L163" s="56" t="str">
        <x:f>IF(OR(E163="",E163=0,H163=""),"",1000*H163/E163)</x:f>
      </x:c>
      <x:c r="M163" s="56" t="str">
        <x:f>IF(OR(E163="",E163=0,I163=""),"",1000*I163/E163)</x:f>
      </x:c>
      <x:c r="N163" s="56" t="str">
        <x:f>IF(OR(E163="",E163=0,K163=""),"",1000*K163/E163)</x:f>
      </x:c>
      <x:c r="O163" s="56" t="str">
        <x:f>IF(OR(E163="",E163=0,J163=""),"",1000*J163/E163)</x:f>
      </x:c>
      <x:c r="P163" s="36"/>
      <x:c r="Q163" s="36"/>
    </x:row>
    <x:row r="164" ht="42" customHeight="1">
      <x:c r="A164" s="29" t="str">
        <x:v>BTB-163</x:v>
      </x:c>
      <x:c r="B164" s="62" t="n">
        <x:v>46485</x:v>
      </x:c>
      <x:c r="C164" s="54"/>
      <x:c r="D164" s="55"/>
      <x:c r="E164" s="55"/>
      <x:c r="F164" s="55"/>
      <x:c r="G164" s="55"/>
      <x:c r="H164" s="55"/>
      <x:c r="I164" s="55"/>
      <x:c r="J164" s="55"/>
      <x:c r="K164" s="55"/>
      <x:c r="L164" s="56" t="str">
        <x:f>IF(OR(E164="",E164=0,H164=""),"",1000*H164/E164)</x:f>
      </x:c>
      <x:c r="M164" s="56" t="str">
        <x:f>IF(OR(E164="",E164=0,I164=""),"",1000*I164/E164)</x:f>
      </x:c>
      <x:c r="N164" s="56" t="str">
        <x:f>IF(OR(E164="",E164=0,K164=""),"",1000*K164/E164)</x:f>
      </x:c>
      <x:c r="O164" s="56" t="str">
        <x:f>IF(OR(E164="",E164=0,J164=""),"",1000*J164/E164)</x:f>
      </x:c>
      <x:c r="P164" s="36"/>
      <x:c r="Q164" s="36"/>
    </x:row>
    <x:row r="165" ht="42" customHeight="1">
      <x:c r="A165" s="29" t="str">
        <x:v>BTB-164</x:v>
      </x:c>
      <x:c r="B165" s="62" t="n">
        <x:v>46486</x:v>
      </x:c>
      <x:c r="C165" s="54"/>
      <x:c r="D165" s="55"/>
      <x:c r="E165" s="55"/>
      <x:c r="F165" s="55"/>
      <x:c r="G165" s="55"/>
      <x:c r="H165" s="55"/>
      <x:c r="I165" s="55"/>
      <x:c r="J165" s="55"/>
      <x:c r="K165" s="55"/>
      <x:c r="L165" s="56" t="str">
        <x:f>IF(OR(E165="",E165=0,H165=""),"",1000*H165/E165)</x:f>
      </x:c>
      <x:c r="M165" s="56" t="str">
        <x:f>IF(OR(E165="",E165=0,I165=""),"",1000*I165/E165)</x:f>
      </x:c>
      <x:c r="N165" s="56" t="str">
        <x:f>IF(OR(E165="",E165=0,K165=""),"",1000*K165/E165)</x:f>
      </x:c>
      <x:c r="O165" s="56" t="str">
        <x:f>IF(OR(E165="",E165=0,J165=""),"",1000*J165/E165)</x:f>
      </x:c>
      <x:c r="P165" s="36"/>
      <x:c r="Q165" s="36"/>
    </x:row>
    <x:row r="166" ht="42" customHeight="1">
      <x:c r="A166" s="29" t="str">
        <x:v>BTB-165</x:v>
      </x:c>
      <x:c r="B166" s="62" t="n">
        <x:v>46487</x:v>
      </x:c>
      <x:c r="C166" s="54"/>
      <x:c r="D166" s="55"/>
      <x:c r="E166" s="55"/>
      <x:c r="F166" s="55"/>
      <x:c r="G166" s="55"/>
      <x:c r="H166" s="55"/>
      <x:c r="I166" s="55"/>
      <x:c r="J166" s="55"/>
      <x:c r="K166" s="55"/>
      <x:c r="L166" s="56" t="str">
        <x:f>IF(OR(E166="",E166=0,H166=""),"",1000*H166/E166)</x:f>
      </x:c>
      <x:c r="M166" s="56" t="str">
        <x:f>IF(OR(E166="",E166=0,I166=""),"",1000*I166/E166)</x:f>
      </x:c>
      <x:c r="N166" s="56" t="str">
        <x:f>IF(OR(E166="",E166=0,K166=""),"",1000*K166/E166)</x:f>
      </x:c>
      <x:c r="O166" s="56" t="str">
        <x:f>IF(OR(E166="",E166=0,J166=""),"",1000*J166/E166)</x:f>
      </x:c>
      <x:c r="P166" s="36"/>
      <x:c r="Q166" s="36"/>
    </x:row>
    <x:row r="167" ht="42" customHeight="1">
      <x:c r="A167" s="29" t="str">
        <x:v>BTB-166</x:v>
      </x:c>
      <x:c r="B167" s="62" t="n">
        <x:v>46488</x:v>
      </x:c>
      <x:c r="C167" s="54"/>
      <x:c r="D167" s="55"/>
      <x:c r="E167" s="55"/>
      <x:c r="F167" s="55"/>
      <x:c r="G167" s="55"/>
      <x:c r="H167" s="55"/>
      <x:c r="I167" s="55"/>
      <x:c r="J167" s="55"/>
      <x:c r="K167" s="55"/>
      <x:c r="L167" s="56" t="str">
        <x:f>IF(OR(E167="",E167=0,H167=""),"",1000*H167/E167)</x:f>
      </x:c>
      <x:c r="M167" s="56" t="str">
        <x:f>IF(OR(E167="",E167=0,I167=""),"",1000*I167/E167)</x:f>
      </x:c>
      <x:c r="N167" s="56" t="str">
        <x:f>IF(OR(E167="",E167=0,K167=""),"",1000*K167/E167)</x:f>
      </x:c>
      <x:c r="O167" s="56" t="str">
        <x:f>IF(OR(E167="",E167=0,J167=""),"",1000*J167/E167)</x:f>
      </x:c>
      <x:c r="P167" s="36"/>
      <x:c r="Q167" s="36"/>
    </x:row>
    <x:row r="168" ht="42" customHeight="1">
      <x:c r="A168" s="29" t="str">
        <x:v>BTB-167</x:v>
      </x:c>
      <x:c r="B168" s="62" t="n">
        <x:v>46489</x:v>
      </x:c>
      <x:c r="C168" s="54"/>
      <x:c r="D168" s="55"/>
      <x:c r="E168" s="55"/>
      <x:c r="F168" s="55"/>
      <x:c r="G168" s="55"/>
      <x:c r="H168" s="55"/>
      <x:c r="I168" s="55"/>
      <x:c r="J168" s="55"/>
      <x:c r="K168" s="55"/>
      <x:c r="L168" s="56" t="str">
        <x:f>IF(OR(E168="",E168=0,H168=""),"",1000*H168/E168)</x:f>
      </x:c>
      <x:c r="M168" s="56" t="str">
        <x:f>IF(OR(E168="",E168=0,I168=""),"",1000*I168/E168)</x:f>
      </x:c>
      <x:c r="N168" s="56" t="str">
        <x:f>IF(OR(E168="",E168=0,K168=""),"",1000*K168/E168)</x:f>
      </x:c>
      <x:c r="O168" s="56" t="str">
        <x:f>IF(OR(E168="",E168=0,J168=""),"",1000*J168/E168)</x:f>
      </x:c>
      <x:c r="P168" s="36"/>
      <x:c r="Q168" s="36"/>
    </x:row>
    <x:row r="169" ht="42" customHeight="1">
      <x:c r="A169" s="29" t="str">
        <x:v>BTB-168</x:v>
      </x:c>
      <x:c r="B169" s="62" t="n">
        <x:v>46490</x:v>
      </x:c>
      <x:c r="C169" s="54"/>
      <x:c r="D169" s="55"/>
      <x:c r="E169" s="55"/>
      <x:c r="F169" s="55"/>
      <x:c r="G169" s="55"/>
      <x:c r="H169" s="55"/>
      <x:c r="I169" s="55"/>
      <x:c r="J169" s="55"/>
      <x:c r="K169" s="55"/>
      <x:c r="L169" s="56" t="str">
        <x:f>IF(OR(E169="",E169=0,H169=""),"",1000*H169/E169)</x:f>
      </x:c>
      <x:c r="M169" s="56" t="str">
        <x:f>IF(OR(E169="",E169=0,I169=""),"",1000*I169/E169)</x:f>
      </x:c>
      <x:c r="N169" s="56" t="str">
        <x:f>IF(OR(E169="",E169=0,K169=""),"",1000*K169/E169)</x:f>
      </x:c>
      <x:c r="O169" s="56" t="str">
        <x:f>IF(OR(E169="",E169=0,J169=""),"",1000*J169/E169)</x:f>
      </x:c>
      <x:c r="P169" s="36"/>
      <x:c r="Q169" s="36"/>
    </x:row>
    <x:row r="170" ht="42" customHeight="1">
      <x:c r="A170" s="29" t="str">
        <x:v>BTB-169</x:v>
      </x:c>
      <x:c r="B170" s="62" t="n">
        <x:v>46491</x:v>
      </x:c>
      <x:c r="C170" s="54"/>
      <x:c r="D170" s="55"/>
      <x:c r="E170" s="55"/>
      <x:c r="F170" s="55"/>
      <x:c r="G170" s="55"/>
      <x:c r="H170" s="55"/>
      <x:c r="I170" s="55"/>
      <x:c r="J170" s="55"/>
      <x:c r="K170" s="55"/>
      <x:c r="L170" s="56" t="str">
        <x:f>IF(OR(E170="",E170=0,H170=""),"",1000*H170/E170)</x:f>
      </x:c>
      <x:c r="M170" s="56" t="str">
        <x:f>IF(OR(E170="",E170=0,I170=""),"",1000*I170/E170)</x:f>
      </x:c>
      <x:c r="N170" s="56" t="str">
        <x:f>IF(OR(E170="",E170=0,K170=""),"",1000*K170/E170)</x:f>
      </x:c>
      <x:c r="O170" s="56" t="str">
        <x:f>IF(OR(E170="",E170=0,J170=""),"",1000*J170/E170)</x:f>
      </x:c>
      <x:c r="P170" s="36"/>
      <x:c r="Q170" s="36"/>
    </x:row>
    <x:row r="171" ht="42" customHeight="1">
      <x:c r="A171" s="29" t="str">
        <x:v>BTB-170</x:v>
      </x:c>
      <x:c r="B171" s="62" t="n">
        <x:v>46492</x:v>
      </x:c>
      <x:c r="C171" s="54"/>
      <x:c r="D171" s="55"/>
      <x:c r="E171" s="55"/>
      <x:c r="F171" s="55"/>
      <x:c r="G171" s="55"/>
      <x:c r="H171" s="55"/>
      <x:c r="I171" s="55"/>
      <x:c r="J171" s="55"/>
      <x:c r="K171" s="55"/>
      <x:c r="L171" s="56" t="str">
        <x:f>IF(OR(E171="",E171=0,H171=""),"",1000*H171/E171)</x:f>
      </x:c>
      <x:c r="M171" s="56" t="str">
        <x:f>IF(OR(E171="",E171=0,I171=""),"",1000*I171/E171)</x:f>
      </x:c>
      <x:c r="N171" s="56" t="str">
        <x:f>IF(OR(E171="",E171=0,K171=""),"",1000*K171/E171)</x:f>
      </x:c>
      <x:c r="O171" s="56" t="str">
        <x:f>IF(OR(E171="",E171=0,J171=""),"",1000*J171/E171)</x:f>
      </x:c>
      <x:c r="P171" s="36"/>
      <x:c r="Q171" s="36"/>
    </x:row>
    <x:row r="172" ht="42" customHeight="1">
      <x:c r="A172" s="29" t="str">
        <x:v>BTB-171</x:v>
      </x:c>
      <x:c r="B172" s="62" t="n">
        <x:v>46493</x:v>
      </x:c>
      <x:c r="C172" s="54"/>
      <x:c r="D172" s="55"/>
      <x:c r="E172" s="55"/>
      <x:c r="F172" s="55"/>
      <x:c r="G172" s="55"/>
      <x:c r="H172" s="55"/>
      <x:c r="I172" s="55"/>
      <x:c r="J172" s="55"/>
      <x:c r="K172" s="55"/>
      <x:c r="L172" s="56" t="str">
        <x:f>IF(OR(E172="",E172=0,H172=""),"",1000*H172/E172)</x:f>
      </x:c>
      <x:c r="M172" s="56" t="str">
        <x:f>IF(OR(E172="",E172=0,I172=""),"",1000*I172/E172)</x:f>
      </x:c>
      <x:c r="N172" s="56" t="str">
        <x:f>IF(OR(E172="",E172=0,K172=""),"",1000*K172/E172)</x:f>
      </x:c>
      <x:c r="O172" s="56" t="str">
        <x:f>IF(OR(E172="",E172=0,J172=""),"",1000*J172/E172)</x:f>
      </x:c>
      <x:c r="P172" s="36"/>
      <x:c r="Q172" s="36"/>
    </x:row>
    <x:row r="173" ht="42" customHeight="1">
      <x:c r="A173" s="29" t="str">
        <x:v>BTB-172</x:v>
      </x:c>
      <x:c r="B173" s="62" t="n">
        <x:v>46494</x:v>
      </x:c>
      <x:c r="C173" s="54"/>
      <x:c r="D173" s="55"/>
      <x:c r="E173" s="55"/>
      <x:c r="F173" s="55"/>
      <x:c r="G173" s="55"/>
      <x:c r="H173" s="55"/>
      <x:c r="I173" s="55"/>
      <x:c r="J173" s="55"/>
      <x:c r="K173" s="55"/>
      <x:c r="L173" s="56" t="str">
        <x:f>IF(OR(E173="",E173=0,H173=""),"",1000*H173/E173)</x:f>
      </x:c>
      <x:c r="M173" s="56" t="str">
        <x:f>IF(OR(E173="",E173=0,I173=""),"",1000*I173/E173)</x:f>
      </x:c>
      <x:c r="N173" s="56" t="str">
        <x:f>IF(OR(E173="",E173=0,K173=""),"",1000*K173/E173)</x:f>
      </x:c>
      <x:c r="O173" s="56" t="str">
        <x:f>IF(OR(E173="",E173=0,J173=""),"",1000*J173/E173)</x:f>
      </x:c>
      <x:c r="P173" s="36"/>
      <x:c r="Q173" s="36"/>
    </x:row>
    <x:row r="174" ht="42" customHeight="1">
      <x:c r="A174" s="29" t="str">
        <x:v>BTB-173</x:v>
      </x:c>
      <x:c r="B174" s="62" t="n">
        <x:v>46495</x:v>
      </x:c>
      <x:c r="C174" s="54"/>
      <x:c r="D174" s="55"/>
      <x:c r="E174" s="55"/>
      <x:c r="F174" s="55"/>
      <x:c r="G174" s="55"/>
      <x:c r="H174" s="55"/>
      <x:c r="I174" s="55"/>
      <x:c r="J174" s="55"/>
      <x:c r="K174" s="55"/>
      <x:c r="L174" s="56" t="str">
        <x:f>IF(OR(E174="",E174=0,H174=""),"",1000*H174/E174)</x:f>
      </x:c>
      <x:c r="M174" s="56" t="str">
        <x:f>IF(OR(E174="",E174=0,I174=""),"",1000*I174/E174)</x:f>
      </x:c>
      <x:c r="N174" s="56" t="str">
        <x:f>IF(OR(E174="",E174=0,K174=""),"",1000*K174/E174)</x:f>
      </x:c>
      <x:c r="O174" s="56" t="str">
        <x:f>IF(OR(E174="",E174=0,J174=""),"",1000*J174/E174)</x:f>
      </x:c>
      <x:c r="P174" s="36"/>
      <x:c r="Q174" s="36"/>
    </x:row>
    <x:row r="175" ht="42" customHeight="1">
      <x:c r="A175" s="29" t="str">
        <x:v>BTB-174</x:v>
      </x:c>
      <x:c r="B175" s="62" t="n">
        <x:v>46496</x:v>
      </x:c>
      <x:c r="C175" s="54"/>
      <x:c r="D175" s="55"/>
      <x:c r="E175" s="55"/>
      <x:c r="F175" s="55"/>
      <x:c r="G175" s="55"/>
      <x:c r="H175" s="55"/>
      <x:c r="I175" s="55"/>
      <x:c r="J175" s="55"/>
      <x:c r="K175" s="55"/>
      <x:c r="L175" s="56" t="str">
        <x:f>IF(OR(E175="",E175=0,H175=""),"",1000*H175/E175)</x:f>
      </x:c>
      <x:c r="M175" s="56" t="str">
        <x:f>IF(OR(E175="",E175=0,I175=""),"",1000*I175/E175)</x:f>
      </x:c>
      <x:c r="N175" s="56" t="str">
        <x:f>IF(OR(E175="",E175=0,K175=""),"",1000*K175/E175)</x:f>
      </x:c>
      <x:c r="O175" s="56" t="str">
        <x:f>IF(OR(E175="",E175=0,J175=""),"",1000*J175/E175)</x:f>
      </x:c>
      <x:c r="P175" s="36"/>
      <x:c r="Q175" s="36"/>
    </x:row>
    <x:row r="176" ht="42" customHeight="1">
      <x:c r="A176" s="29" t="str">
        <x:v>BTB-175</x:v>
      </x:c>
      <x:c r="B176" s="62" t="n">
        <x:v>46497</x:v>
      </x:c>
      <x:c r="C176" s="54"/>
      <x:c r="D176" s="55"/>
      <x:c r="E176" s="55"/>
      <x:c r="F176" s="55"/>
      <x:c r="G176" s="55"/>
      <x:c r="H176" s="55"/>
      <x:c r="I176" s="55"/>
      <x:c r="J176" s="55"/>
      <x:c r="K176" s="55"/>
      <x:c r="L176" s="56" t="str">
        <x:f>IF(OR(E176="",E176=0,H176=""),"",1000*H176/E176)</x:f>
      </x:c>
      <x:c r="M176" s="56" t="str">
        <x:f>IF(OR(E176="",E176=0,I176=""),"",1000*I176/E176)</x:f>
      </x:c>
      <x:c r="N176" s="56" t="str">
        <x:f>IF(OR(E176="",E176=0,K176=""),"",1000*K176/E176)</x:f>
      </x:c>
      <x:c r="O176" s="56" t="str">
        <x:f>IF(OR(E176="",E176=0,J176=""),"",1000*J176/E176)</x:f>
      </x:c>
      <x:c r="P176" s="36"/>
      <x:c r="Q176" s="36"/>
    </x:row>
    <x:row r="177" ht="42" customHeight="1">
      <x:c r="A177" s="29" t="str">
        <x:v>BTB-176</x:v>
      </x:c>
      <x:c r="B177" s="62" t="n">
        <x:v>46498</x:v>
      </x:c>
      <x:c r="C177" s="54"/>
      <x:c r="D177" s="55"/>
      <x:c r="E177" s="55"/>
      <x:c r="F177" s="55"/>
      <x:c r="G177" s="55"/>
      <x:c r="H177" s="55"/>
      <x:c r="I177" s="55"/>
      <x:c r="J177" s="55"/>
      <x:c r="K177" s="55"/>
      <x:c r="L177" s="56" t="str">
        <x:f>IF(OR(E177="",E177=0,H177=""),"",1000*H177/E177)</x:f>
      </x:c>
      <x:c r="M177" s="56" t="str">
        <x:f>IF(OR(E177="",E177=0,I177=""),"",1000*I177/E177)</x:f>
      </x:c>
      <x:c r="N177" s="56" t="str">
        <x:f>IF(OR(E177="",E177=0,K177=""),"",1000*K177/E177)</x:f>
      </x:c>
      <x:c r="O177" s="56" t="str">
        <x:f>IF(OR(E177="",E177=0,J177=""),"",1000*J177/E177)</x:f>
      </x:c>
      <x:c r="P177" s="36"/>
      <x:c r="Q177" s="36"/>
    </x:row>
    <x:row r="178" ht="42" customHeight="1">
      <x:c r="A178" s="29" t="str">
        <x:v>BTB-177</x:v>
      </x:c>
      <x:c r="B178" s="62" t="n">
        <x:v>46499</x:v>
      </x:c>
      <x:c r="C178" s="54"/>
      <x:c r="D178" s="55"/>
      <x:c r="E178" s="55"/>
      <x:c r="F178" s="55"/>
      <x:c r="G178" s="55"/>
      <x:c r="H178" s="55"/>
      <x:c r="I178" s="55"/>
      <x:c r="J178" s="55"/>
      <x:c r="K178" s="55"/>
      <x:c r="L178" s="56" t="str">
        <x:f>IF(OR(E178="",E178=0,H178=""),"",1000*H178/E178)</x:f>
      </x:c>
      <x:c r="M178" s="56" t="str">
        <x:f>IF(OR(E178="",E178=0,I178=""),"",1000*I178/E178)</x:f>
      </x:c>
      <x:c r="N178" s="56" t="str">
        <x:f>IF(OR(E178="",E178=0,K178=""),"",1000*K178/E178)</x:f>
      </x:c>
      <x:c r="O178" s="56" t="str">
        <x:f>IF(OR(E178="",E178=0,J178=""),"",1000*J178/E178)</x:f>
      </x:c>
      <x:c r="P178" s="36"/>
      <x:c r="Q178" s="36"/>
    </x:row>
    <x:row r="179" ht="42" customHeight="1">
      <x:c r="A179" s="29" t="str">
        <x:v>BTB-178</x:v>
      </x:c>
      <x:c r="B179" s="62" t="n">
        <x:v>46500</x:v>
      </x:c>
      <x:c r="C179" s="54"/>
      <x:c r="D179" s="55"/>
      <x:c r="E179" s="55"/>
      <x:c r="F179" s="55"/>
      <x:c r="G179" s="55"/>
      <x:c r="H179" s="55"/>
      <x:c r="I179" s="55"/>
      <x:c r="J179" s="55"/>
      <x:c r="K179" s="55"/>
      <x:c r="L179" s="56" t="str">
        <x:f>IF(OR(E179="",E179=0,H179=""),"",1000*H179/E179)</x:f>
      </x:c>
      <x:c r="M179" s="56" t="str">
        <x:f>IF(OR(E179="",E179=0,I179=""),"",1000*I179/E179)</x:f>
      </x:c>
      <x:c r="N179" s="56" t="str">
        <x:f>IF(OR(E179="",E179=0,K179=""),"",1000*K179/E179)</x:f>
      </x:c>
      <x:c r="O179" s="56" t="str">
        <x:f>IF(OR(E179="",E179=0,J179=""),"",1000*J179/E179)</x:f>
      </x:c>
      <x:c r="P179" s="36"/>
      <x:c r="Q179" s="36"/>
    </x:row>
    <x:row r="180" ht="42" customHeight="1">
      <x:c r="A180" s="29" t="str">
        <x:v>BTB-179</x:v>
      </x:c>
      <x:c r="B180" s="62" t="n">
        <x:v>46501</x:v>
      </x:c>
      <x:c r="C180" s="54"/>
      <x:c r="D180" s="55"/>
      <x:c r="E180" s="55"/>
      <x:c r="F180" s="55"/>
      <x:c r="G180" s="55"/>
      <x:c r="H180" s="55"/>
      <x:c r="I180" s="55"/>
      <x:c r="J180" s="55"/>
      <x:c r="K180" s="55"/>
      <x:c r="L180" s="56" t="str">
        <x:f>IF(OR(E180="",E180=0,H180=""),"",1000*H180/E180)</x:f>
      </x:c>
      <x:c r="M180" s="56" t="str">
        <x:f>IF(OR(E180="",E180=0,I180=""),"",1000*I180/E180)</x:f>
      </x:c>
      <x:c r="N180" s="56" t="str">
        <x:f>IF(OR(E180="",E180=0,K180=""),"",1000*K180/E180)</x:f>
      </x:c>
      <x:c r="O180" s="56" t="str">
        <x:f>IF(OR(E180="",E180=0,J180=""),"",1000*J180/E180)</x:f>
      </x:c>
      <x:c r="P180" s="36"/>
      <x:c r="Q180" s="36"/>
    </x:row>
    <x:row r="181" ht="42" customHeight="1">
      <x:c r="A181" s="29" t="str">
        <x:v>BTB-180</x:v>
      </x:c>
      <x:c r="B181" s="62" t="n">
        <x:v>46502</x:v>
      </x:c>
      <x:c r="C181" s="54"/>
      <x:c r="D181" s="55"/>
      <x:c r="E181" s="55"/>
      <x:c r="F181" s="55"/>
      <x:c r="G181" s="55"/>
      <x:c r="H181" s="55"/>
      <x:c r="I181" s="55"/>
      <x:c r="J181" s="55"/>
      <x:c r="K181" s="55"/>
      <x:c r="L181" s="56" t="str">
        <x:f>IF(OR(E181="",E181=0,H181=""),"",1000*H181/E181)</x:f>
      </x:c>
      <x:c r="M181" s="56" t="str">
        <x:f>IF(OR(E181="",E181=0,I181=""),"",1000*I181/E181)</x:f>
      </x:c>
      <x:c r="N181" s="56" t="str">
        <x:f>IF(OR(E181="",E181=0,K181=""),"",1000*K181/E181)</x:f>
      </x:c>
      <x:c r="O181" s="56" t="str">
        <x:f>IF(OR(E181="",E181=0,J181=""),"",1000*J181/E181)</x:f>
      </x:c>
      <x:c r="P181" s="36"/>
      <x:c r="Q181" s="36"/>
    </x:row>
  </x:sheetData>
  <x:conditionalFormatting sqref="D2:K181">
    <x:cfRule type="cellIs" dxfId="0" priority="1" operator="lessThan">
      <x:formula>0</x:formula>
    </x:cfRule>
  </x:conditionalFormatting>
  <x:dataValidations count="1">
    <x:dataValidation type="list" sqref="P2:P181">
      <x:formula1>"Organic,Collaboration,Paid / boosted,Mixed / unknown"</x:formula1>
    </x:dataValidation>
  </x:dataValidations>
  <x:pageMargins left="0.7" right="0.7" top="0.75" bottom="0.75" header="0.3" footer="0.3"/>
  <x:tableParts count="1">
    <x:tablePart xmlns:r="http://schemas.openxmlformats.org/officeDocument/2006/relationships" r:id="Rcd6a6ecfb10c4160"/>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3" hidden="0" customWidth="1"/>
    <x:col min="3" max="3" width="27" hidden="0" customWidth="1"/>
    <x:col min="4" max="4" width="25" hidden="0" customWidth="1"/>
    <x:col min="5" max="5" width="50" hidden="0" customWidth="1"/>
  </x:cols>
  <x:sheetData>
    <x:row r="1" ht="36" customHeight="1">
      <x:c r="A1" s="9" t="str">
        <x:v>Observation date</x:v>
      </x:c>
      <x:c r="B1" s="9" t="str">
        <x:v>Observed follower stock</x:v>
      </x:c>
      <x:c r="C1" s="9" t="str">
        <x:v>Change vs preceding calendar row</x:v>
      </x:c>
      <x:c r="D1" s="9" t="str">
        <x:v>Observation index (formula)</x:v>
      </x:c>
      <x:c r="E1" s="9" t="str">
        <x:v>Evidence / observation note</x:v>
      </x:c>
    </x:row>
    <x:row r="2" ht="42" customHeight="1">
      <x:c r="A2" s="62" t="n">
        <x:v>46322</x:v>
      </x:c>
      <x:c r="B2" s="55"/>
      <x:c r="C2" s="60"/>
      <x:c r="D2" s="60" t="str">
        <x:f>IF(B2="","",ROW()-1)</x:f>
      </x:c>
      <x:c r="E2" s="36" t="str">
        <x:v>Baseline unknown — enter verified count</x:v>
      </x:c>
    </x:row>
    <x:row r="3" ht="42" customHeight="1">
      <x:c r="A3" s="62" t="n">
        <x:v>46323</x:v>
      </x:c>
      <x:c r="B3" s="55"/>
      <x:c r="C3" s="60" t="str">
        <x:f>IF(OR(B3="",B2=""),"",B3-B2)</x:f>
      </x:c>
      <x:c r="D3" s="60" t="str">
        <x:f>IF(B3="","",ROW()-1)</x:f>
      </x:c>
      <x:c r="E3" s="36"/>
    </x:row>
    <x:row r="4" ht="42" customHeight="1">
      <x:c r="A4" s="62" t="n">
        <x:v>46324</x:v>
      </x:c>
      <x:c r="B4" s="55"/>
      <x:c r="C4" s="60" t="str">
        <x:f>IF(OR(B4="",B3=""),"",B4-B3)</x:f>
      </x:c>
      <x:c r="D4" s="60" t="str">
        <x:f>IF(B4="","",ROW()-1)</x:f>
      </x:c>
      <x:c r="E4" s="36"/>
    </x:row>
    <x:row r="5" ht="42" customHeight="1">
      <x:c r="A5" s="62" t="n">
        <x:v>46325</x:v>
      </x:c>
      <x:c r="B5" s="55"/>
      <x:c r="C5" s="60" t="str">
        <x:f>IF(OR(B5="",B4=""),"",B5-B4)</x:f>
      </x:c>
      <x:c r="D5" s="60" t="str">
        <x:f>IF(B5="","",ROW()-1)</x:f>
      </x:c>
      <x:c r="E5" s="36"/>
    </x:row>
    <x:row r="6" ht="42" customHeight="1">
      <x:c r="A6" s="62" t="n">
        <x:v>46326</x:v>
      </x:c>
      <x:c r="B6" s="55"/>
      <x:c r="C6" s="60" t="str">
        <x:f>IF(OR(B6="",B5=""),"",B6-B5)</x:f>
      </x:c>
      <x:c r="D6" s="60" t="str">
        <x:f>IF(B6="","",ROW()-1)</x:f>
      </x:c>
      <x:c r="E6" s="36"/>
    </x:row>
    <x:row r="7" ht="42" customHeight="1">
      <x:c r="A7" s="62" t="n">
        <x:v>46327</x:v>
      </x:c>
      <x:c r="B7" s="55"/>
      <x:c r="C7" s="60" t="str">
        <x:f>IF(OR(B7="",B6=""),"",B7-B6)</x:f>
      </x:c>
      <x:c r="D7" s="60" t="str">
        <x:f>IF(B7="","",ROW()-1)</x:f>
      </x:c>
      <x:c r="E7" s="36"/>
    </x:row>
    <x:row r="8" ht="42" customHeight="1">
      <x:c r="A8" s="62" t="n">
        <x:v>46328</x:v>
      </x:c>
      <x:c r="B8" s="55"/>
      <x:c r="C8" s="60" t="str">
        <x:f>IF(OR(B8="",B7=""),"",B8-B7)</x:f>
      </x:c>
      <x:c r="D8" s="60" t="str">
        <x:f>IF(B8="","",ROW()-1)</x:f>
      </x:c>
      <x:c r="E8" s="36"/>
    </x:row>
    <x:row r="9" ht="42" customHeight="1">
      <x:c r="A9" s="62" t="n">
        <x:v>46329</x:v>
      </x:c>
      <x:c r="B9" s="55"/>
      <x:c r="C9" s="60" t="str">
        <x:f>IF(OR(B9="",B8=""),"",B9-B8)</x:f>
      </x:c>
      <x:c r="D9" s="60" t="str">
        <x:f>IF(B9="","",ROW()-1)</x:f>
      </x:c>
      <x:c r="E9" s="36"/>
    </x:row>
    <x:row r="10" ht="42" customHeight="1">
      <x:c r="A10" s="62" t="n">
        <x:v>46330</x:v>
      </x:c>
      <x:c r="B10" s="55"/>
      <x:c r="C10" s="60" t="str">
        <x:f>IF(OR(B10="",B9=""),"",B10-B9)</x:f>
      </x:c>
      <x:c r="D10" s="60" t="str">
        <x:f>IF(B10="","",ROW()-1)</x:f>
      </x:c>
      <x:c r="E10" s="36"/>
    </x:row>
    <x:row r="11" ht="42" customHeight="1">
      <x:c r="A11" s="62" t="n">
        <x:v>46331</x:v>
      </x:c>
      <x:c r="B11" s="55"/>
      <x:c r="C11" s="60" t="str">
        <x:f>IF(OR(B11="",B10=""),"",B11-B10)</x:f>
      </x:c>
      <x:c r="D11" s="60" t="str">
        <x:f>IF(B11="","",ROW()-1)</x:f>
      </x:c>
      <x:c r="E11" s="36"/>
    </x:row>
    <x:row r="12" ht="42" customHeight="1">
      <x:c r="A12" s="62" t="n">
        <x:v>46332</x:v>
      </x:c>
      <x:c r="B12" s="55"/>
      <x:c r="C12" s="60" t="str">
        <x:f>IF(OR(B12="",B11=""),"",B12-B11)</x:f>
      </x:c>
      <x:c r="D12" s="60" t="str">
        <x:f>IF(B12="","",ROW()-1)</x:f>
      </x:c>
      <x:c r="E12" s="36"/>
    </x:row>
    <x:row r="13" ht="42" customHeight="1">
      <x:c r="A13" s="62" t="n">
        <x:v>46333</x:v>
      </x:c>
      <x:c r="B13" s="55"/>
      <x:c r="C13" s="60" t="str">
        <x:f>IF(OR(B13="",B12=""),"",B13-B12)</x:f>
      </x:c>
      <x:c r="D13" s="60" t="str">
        <x:f>IF(B13="","",ROW()-1)</x:f>
      </x:c>
      <x:c r="E13" s="36"/>
    </x:row>
    <x:row r="14" ht="42" customHeight="1">
      <x:c r="A14" s="62" t="n">
        <x:v>46334</x:v>
      </x:c>
      <x:c r="B14" s="55"/>
      <x:c r="C14" s="60" t="str">
        <x:f>IF(OR(B14="",B13=""),"",B14-B13)</x:f>
      </x:c>
      <x:c r="D14" s="60" t="str">
        <x:f>IF(B14="","",ROW()-1)</x:f>
      </x:c>
      <x:c r="E14" s="36"/>
    </x:row>
    <x:row r="15" ht="42" customHeight="1">
      <x:c r="A15" s="62" t="n">
        <x:v>46335</x:v>
      </x:c>
      <x:c r="B15" s="55"/>
      <x:c r="C15" s="60" t="str">
        <x:f>IF(OR(B15="",B14=""),"",B15-B14)</x:f>
      </x:c>
      <x:c r="D15" s="60" t="str">
        <x:f>IF(B15="","",ROW()-1)</x:f>
      </x:c>
      <x:c r="E15" s="36"/>
    </x:row>
    <x:row r="16" ht="42" customHeight="1">
      <x:c r="A16" s="62" t="n">
        <x:v>46336</x:v>
      </x:c>
      <x:c r="B16" s="55"/>
      <x:c r="C16" s="60" t="str">
        <x:f>IF(OR(B16="",B15=""),"",B16-B15)</x:f>
      </x:c>
      <x:c r="D16" s="60" t="str">
        <x:f>IF(B16="","",ROW()-1)</x:f>
      </x:c>
      <x:c r="E16" s="36"/>
    </x:row>
    <x:row r="17" ht="42" customHeight="1">
      <x:c r="A17" s="62" t="n">
        <x:v>46337</x:v>
      </x:c>
      <x:c r="B17" s="55"/>
      <x:c r="C17" s="60" t="str">
        <x:f>IF(OR(B17="",B16=""),"",B17-B16)</x:f>
      </x:c>
      <x:c r="D17" s="60" t="str">
        <x:f>IF(B17="","",ROW()-1)</x:f>
      </x:c>
      <x:c r="E17" s="36"/>
    </x:row>
    <x:row r="18" ht="42" customHeight="1">
      <x:c r="A18" s="62" t="n">
        <x:v>46338</x:v>
      </x:c>
      <x:c r="B18" s="55"/>
      <x:c r="C18" s="60" t="str">
        <x:f>IF(OR(B18="",B17=""),"",B18-B17)</x:f>
      </x:c>
      <x:c r="D18" s="60" t="str">
        <x:f>IF(B18="","",ROW()-1)</x:f>
      </x:c>
      <x:c r="E18" s="36"/>
    </x:row>
    <x:row r="19" ht="42" customHeight="1">
      <x:c r="A19" s="62" t="n">
        <x:v>46339</x:v>
      </x:c>
      <x:c r="B19" s="55"/>
      <x:c r="C19" s="60" t="str">
        <x:f>IF(OR(B19="",B18=""),"",B19-B18)</x:f>
      </x:c>
      <x:c r="D19" s="60" t="str">
        <x:f>IF(B19="","",ROW()-1)</x:f>
      </x:c>
      <x:c r="E19" s="36"/>
    </x:row>
    <x:row r="20" ht="42" customHeight="1">
      <x:c r="A20" s="62" t="n">
        <x:v>46340</x:v>
      </x:c>
      <x:c r="B20" s="55"/>
      <x:c r="C20" s="60" t="str">
        <x:f>IF(OR(B20="",B19=""),"",B20-B19)</x:f>
      </x:c>
      <x:c r="D20" s="60" t="str">
        <x:f>IF(B20="","",ROW()-1)</x:f>
      </x:c>
      <x:c r="E20" s="36"/>
    </x:row>
    <x:row r="21" ht="42" customHeight="1">
      <x:c r="A21" s="62" t="n">
        <x:v>46341</x:v>
      </x:c>
      <x:c r="B21" s="55"/>
      <x:c r="C21" s="60" t="str">
        <x:f>IF(OR(B21="",B20=""),"",B21-B20)</x:f>
      </x:c>
      <x:c r="D21" s="60" t="str">
        <x:f>IF(B21="","",ROW()-1)</x:f>
      </x:c>
      <x:c r="E21" s="36"/>
    </x:row>
    <x:row r="22" ht="42" customHeight="1">
      <x:c r="A22" s="62" t="n">
        <x:v>46342</x:v>
      </x:c>
      <x:c r="B22" s="55"/>
      <x:c r="C22" s="60" t="str">
        <x:f>IF(OR(B22="",B21=""),"",B22-B21)</x:f>
      </x:c>
      <x:c r="D22" s="60" t="str">
        <x:f>IF(B22="","",ROW()-1)</x:f>
      </x:c>
      <x:c r="E22" s="36"/>
    </x:row>
    <x:row r="23" ht="42" customHeight="1">
      <x:c r="A23" s="62" t="n">
        <x:v>46343</x:v>
      </x:c>
      <x:c r="B23" s="55"/>
      <x:c r="C23" s="60" t="str">
        <x:f>IF(OR(B23="",B22=""),"",B23-B22)</x:f>
      </x:c>
      <x:c r="D23" s="60" t="str">
        <x:f>IF(B23="","",ROW()-1)</x:f>
      </x:c>
      <x:c r="E23" s="36"/>
    </x:row>
    <x:row r="24" ht="42" customHeight="1">
      <x:c r="A24" s="62" t="n">
        <x:v>46344</x:v>
      </x:c>
      <x:c r="B24" s="55"/>
      <x:c r="C24" s="60" t="str">
        <x:f>IF(OR(B24="",B23=""),"",B24-B23)</x:f>
      </x:c>
      <x:c r="D24" s="60" t="str">
        <x:f>IF(B24="","",ROW()-1)</x:f>
      </x:c>
      <x:c r="E24" s="36"/>
    </x:row>
    <x:row r="25" ht="42" customHeight="1">
      <x:c r="A25" s="62" t="n">
        <x:v>46345</x:v>
      </x:c>
      <x:c r="B25" s="55"/>
      <x:c r="C25" s="60" t="str">
        <x:f>IF(OR(B25="",B24=""),"",B25-B24)</x:f>
      </x:c>
      <x:c r="D25" s="60" t="str">
        <x:f>IF(B25="","",ROW()-1)</x:f>
      </x:c>
      <x:c r="E25" s="36"/>
    </x:row>
    <x:row r="26" ht="42" customHeight="1">
      <x:c r="A26" s="62" t="n">
        <x:v>46346</x:v>
      </x:c>
      <x:c r="B26" s="55"/>
      <x:c r="C26" s="60" t="str">
        <x:f>IF(OR(B26="",B25=""),"",B26-B25)</x:f>
      </x:c>
      <x:c r="D26" s="60" t="str">
        <x:f>IF(B26="","",ROW()-1)</x:f>
      </x:c>
      <x:c r="E26" s="36"/>
    </x:row>
    <x:row r="27" ht="42" customHeight="1">
      <x:c r="A27" s="62" t="n">
        <x:v>46347</x:v>
      </x:c>
      <x:c r="B27" s="55"/>
      <x:c r="C27" s="60" t="str">
        <x:f>IF(OR(B27="",B26=""),"",B27-B26)</x:f>
      </x:c>
      <x:c r="D27" s="60" t="str">
        <x:f>IF(B27="","",ROW()-1)</x:f>
      </x:c>
      <x:c r="E27" s="36"/>
    </x:row>
    <x:row r="28" ht="42" customHeight="1">
      <x:c r="A28" s="62" t="n">
        <x:v>46348</x:v>
      </x:c>
      <x:c r="B28" s="55"/>
      <x:c r="C28" s="60" t="str">
        <x:f>IF(OR(B28="",B27=""),"",B28-B27)</x:f>
      </x:c>
      <x:c r="D28" s="60" t="str">
        <x:f>IF(B28="","",ROW()-1)</x:f>
      </x:c>
      <x:c r="E28" s="36"/>
    </x:row>
    <x:row r="29" ht="42" customHeight="1">
      <x:c r="A29" s="62" t="n">
        <x:v>46349</x:v>
      </x:c>
      <x:c r="B29" s="55"/>
      <x:c r="C29" s="60" t="str">
        <x:f>IF(OR(B29="",B28=""),"",B29-B28)</x:f>
      </x:c>
      <x:c r="D29" s="60" t="str">
        <x:f>IF(B29="","",ROW()-1)</x:f>
      </x:c>
      <x:c r="E29" s="36"/>
    </x:row>
    <x:row r="30" ht="42" customHeight="1">
      <x:c r="A30" s="62" t="n">
        <x:v>46350</x:v>
      </x:c>
      <x:c r="B30" s="55"/>
      <x:c r="C30" s="60" t="str">
        <x:f>IF(OR(B30="",B29=""),"",B30-B29)</x:f>
      </x:c>
      <x:c r="D30" s="60" t="str">
        <x:f>IF(B30="","",ROW()-1)</x:f>
      </x:c>
      <x:c r="E30" s="36"/>
    </x:row>
    <x:row r="31" ht="42" customHeight="1">
      <x:c r="A31" s="62" t="n">
        <x:v>46351</x:v>
      </x:c>
      <x:c r="B31" s="55"/>
      <x:c r="C31" s="60" t="str">
        <x:f>IF(OR(B31="",B30=""),"",B31-B30)</x:f>
      </x:c>
      <x:c r="D31" s="60" t="str">
        <x:f>IF(B31="","",ROW()-1)</x:f>
      </x:c>
      <x:c r="E31" s="36"/>
    </x:row>
    <x:row r="32" ht="42" customHeight="1">
      <x:c r="A32" s="62" t="n">
        <x:v>46352</x:v>
      </x:c>
      <x:c r="B32" s="55"/>
      <x:c r="C32" s="60" t="str">
        <x:f>IF(OR(B32="",B31=""),"",B32-B31)</x:f>
      </x:c>
      <x:c r="D32" s="60" t="str">
        <x:f>IF(B32="","",ROW()-1)</x:f>
      </x:c>
      <x:c r="E32" s="36"/>
    </x:row>
    <x:row r="33" ht="42" customHeight="1">
      <x:c r="A33" s="62" t="n">
        <x:v>46353</x:v>
      </x:c>
      <x:c r="B33" s="55"/>
      <x:c r="C33" s="60" t="str">
        <x:f>IF(OR(B33="",B32=""),"",B33-B32)</x:f>
      </x:c>
      <x:c r="D33" s="60" t="str">
        <x:f>IF(B33="","",ROW()-1)</x:f>
      </x:c>
      <x:c r="E33" s="36"/>
    </x:row>
    <x:row r="34" ht="42" customHeight="1">
      <x:c r="A34" s="62" t="n">
        <x:v>46354</x:v>
      </x:c>
      <x:c r="B34" s="55"/>
      <x:c r="C34" s="60" t="str">
        <x:f>IF(OR(B34="",B33=""),"",B34-B33)</x:f>
      </x:c>
      <x:c r="D34" s="60" t="str">
        <x:f>IF(B34="","",ROW()-1)</x:f>
      </x:c>
      <x:c r="E34" s="36"/>
    </x:row>
    <x:row r="35" ht="42" customHeight="1">
      <x:c r="A35" s="62" t="n">
        <x:v>46355</x:v>
      </x:c>
      <x:c r="B35" s="55"/>
      <x:c r="C35" s="60" t="str">
        <x:f>IF(OR(B35="",B34=""),"",B35-B34)</x:f>
      </x:c>
      <x:c r="D35" s="60" t="str">
        <x:f>IF(B35="","",ROW()-1)</x:f>
      </x:c>
      <x:c r="E35" s="36"/>
    </x:row>
    <x:row r="36" ht="42" customHeight="1">
      <x:c r="A36" s="62" t="n">
        <x:v>46356</x:v>
      </x:c>
      <x:c r="B36" s="55"/>
      <x:c r="C36" s="60" t="str">
        <x:f>IF(OR(B36="",B35=""),"",B36-B35)</x:f>
      </x:c>
      <x:c r="D36" s="60" t="str">
        <x:f>IF(B36="","",ROW()-1)</x:f>
      </x:c>
      <x:c r="E36" s="36"/>
    </x:row>
    <x:row r="37" ht="42" customHeight="1">
      <x:c r="A37" s="62" t="n">
        <x:v>46357</x:v>
      </x:c>
      <x:c r="B37" s="55"/>
      <x:c r="C37" s="60" t="str">
        <x:f>IF(OR(B37="",B36=""),"",B37-B36)</x:f>
      </x:c>
      <x:c r="D37" s="60" t="str">
        <x:f>IF(B37="","",ROW()-1)</x:f>
      </x:c>
      <x:c r="E37" s="36"/>
    </x:row>
    <x:row r="38" ht="42" customHeight="1">
      <x:c r="A38" s="62" t="n">
        <x:v>46358</x:v>
      </x:c>
      <x:c r="B38" s="55"/>
      <x:c r="C38" s="60" t="str">
        <x:f>IF(OR(B38="",B37=""),"",B38-B37)</x:f>
      </x:c>
      <x:c r="D38" s="60" t="str">
        <x:f>IF(B38="","",ROW()-1)</x:f>
      </x:c>
      <x:c r="E38" s="36"/>
    </x:row>
    <x:row r="39" ht="42" customHeight="1">
      <x:c r="A39" s="62" t="n">
        <x:v>46359</x:v>
      </x:c>
      <x:c r="B39" s="55"/>
      <x:c r="C39" s="60" t="str">
        <x:f>IF(OR(B39="",B38=""),"",B39-B38)</x:f>
      </x:c>
      <x:c r="D39" s="60" t="str">
        <x:f>IF(B39="","",ROW()-1)</x:f>
      </x:c>
      <x:c r="E39" s="36"/>
    </x:row>
    <x:row r="40" ht="42" customHeight="1">
      <x:c r="A40" s="62" t="n">
        <x:v>46360</x:v>
      </x:c>
      <x:c r="B40" s="55"/>
      <x:c r="C40" s="60" t="str">
        <x:f>IF(OR(B40="",B39=""),"",B40-B39)</x:f>
      </x:c>
      <x:c r="D40" s="60" t="str">
        <x:f>IF(B40="","",ROW()-1)</x:f>
      </x:c>
      <x:c r="E40" s="36"/>
    </x:row>
    <x:row r="41" ht="42" customHeight="1">
      <x:c r="A41" s="62" t="n">
        <x:v>46361</x:v>
      </x:c>
      <x:c r="B41" s="55"/>
      <x:c r="C41" s="60" t="str">
        <x:f>IF(OR(B41="",B40=""),"",B41-B40)</x:f>
      </x:c>
      <x:c r="D41" s="60" t="str">
        <x:f>IF(B41="","",ROW()-1)</x:f>
      </x:c>
      <x:c r="E41" s="36"/>
    </x:row>
    <x:row r="42" ht="42" customHeight="1">
      <x:c r="A42" s="62" t="n">
        <x:v>46362</x:v>
      </x:c>
      <x:c r="B42" s="55"/>
      <x:c r="C42" s="60" t="str">
        <x:f>IF(OR(B42="",B41=""),"",B42-B41)</x:f>
      </x:c>
      <x:c r="D42" s="60" t="str">
        <x:f>IF(B42="","",ROW()-1)</x:f>
      </x:c>
      <x:c r="E42" s="36"/>
    </x:row>
    <x:row r="43" ht="42" customHeight="1">
      <x:c r="A43" s="62" t="n">
        <x:v>46363</x:v>
      </x:c>
      <x:c r="B43" s="55"/>
      <x:c r="C43" s="60" t="str">
        <x:f>IF(OR(B43="",B42=""),"",B43-B42)</x:f>
      </x:c>
      <x:c r="D43" s="60" t="str">
        <x:f>IF(B43="","",ROW()-1)</x:f>
      </x:c>
      <x:c r="E43" s="36"/>
    </x:row>
    <x:row r="44" ht="42" customHeight="1">
      <x:c r="A44" s="62" t="n">
        <x:v>46364</x:v>
      </x:c>
      <x:c r="B44" s="55"/>
      <x:c r="C44" s="60" t="str">
        <x:f>IF(OR(B44="",B43=""),"",B44-B43)</x:f>
      </x:c>
      <x:c r="D44" s="60" t="str">
        <x:f>IF(B44="","",ROW()-1)</x:f>
      </x:c>
      <x:c r="E44" s="36"/>
    </x:row>
    <x:row r="45" ht="42" customHeight="1">
      <x:c r="A45" s="62" t="n">
        <x:v>46365</x:v>
      </x:c>
      <x:c r="B45" s="55"/>
      <x:c r="C45" s="60" t="str">
        <x:f>IF(OR(B45="",B44=""),"",B45-B44)</x:f>
      </x:c>
      <x:c r="D45" s="60" t="str">
        <x:f>IF(B45="","",ROW()-1)</x:f>
      </x:c>
      <x:c r="E45" s="36"/>
    </x:row>
    <x:row r="46" ht="42" customHeight="1">
      <x:c r="A46" s="62" t="n">
        <x:v>46366</x:v>
      </x:c>
      <x:c r="B46" s="55"/>
      <x:c r="C46" s="60" t="str">
        <x:f>IF(OR(B46="",B45=""),"",B46-B45)</x:f>
      </x:c>
      <x:c r="D46" s="60" t="str">
        <x:f>IF(B46="","",ROW()-1)</x:f>
      </x:c>
      <x:c r="E46" s="36"/>
    </x:row>
    <x:row r="47" ht="42" customHeight="1">
      <x:c r="A47" s="62" t="n">
        <x:v>46367</x:v>
      </x:c>
      <x:c r="B47" s="55"/>
      <x:c r="C47" s="60" t="str">
        <x:f>IF(OR(B47="",B46=""),"",B47-B46)</x:f>
      </x:c>
      <x:c r="D47" s="60" t="str">
        <x:f>IF(B47="","",ROW()-1)</x:f>
      </x:c>
      <x:c r="E47" s="36"/>
    </x:row>
    <x:row r="48" ht="42" customHeight="1">
      <x:c r="A48" s="62" t="n">
        <x:v>46368</x:v>
      </x:c>
      <x:c r="B48" s="55"/>
      <x:c r="C48" s="60" t="str">
        <x:f>IF(OR(B48="",B47=""),"",B48-B47)</x:f>
      </x:c>
      <x:c r="D48" s="60" t="str">
        <x:f>IF(B48="","",ROW()-1)</x:f>
      </x:c>
      <x:c r="E48" s="36"/>
    </x:row>
    <x:row r="49" ht="42" customHeight="1">
      <x:c r="A49" s="62" t="n">
        <x:v>46369</x:v>
      </x:c>
      <x:c r="B49" s="55"/>
      <x:c r="C49" s="60" t="str">
        <x:f>IF(OR(B49="",B48=""),"",B49-B48)</x:f>
      </x:c>
      <x:c r="D49" s="60" t="str">
        <x:f>IF(B49="","",ROW()-1)</x:f>
      </x:c>
      <x:c r="E49" s="36"/>
    </x:row>
    <x:row r="50" ht="42" customHeight="1">
      <x:c r="A50" s="62" t="n">
        <x:v>46370</x:v>
      </x:c>
      <x:c r="B50" s="55"/>
      <x:c r="C50" s="60" t="str">
        <x:f>IF(OR(B50="",B49=""),"",B50-B49)</x:f>
      </x:c>
      <x:c r="D50" s="60" t="str">
        <x:f>IF(B50="","",ROW()-1)</x:f>
      </x:c>
      <x:c r="E50" s="36"/>
    </x:row>
    <x:row r="51" ht="42" customHeight="1">
      <x:c r="A51" s="62" t="n">
        <x:v>46371</x:v>
      </x:c>
      <x:c r="B51" s="55"/>
      <x:c r="C51" s="60" t="str">
        <x:f>IF(OR(B51="",B50=""),"",B51-B50)</x:f>
      </x:c>
      <x:c r="D51" s="60" t="str">
        <x:f>IF(B51="","",ROW()-1)</x:f>
      </x:c>
      <x:c r="E51" s="36"/>
    </x:row>
    <x:row r="52" ht="42" customHeight="1">
      <x:c r="A52" s="62" t="n">
        <x:v>46372</x:v>
      </x:c>
      <x:c r="B52" s="55"/>
      <x:c r="C52" s="60" t="str">
        <x:f>IF(OR(B52="",B51=""),"",B52-B51)</x:f>
      </x:c>
      <x:c r="D52" s="60" t="str">
        <x:f>IF(B52="","",ROW()-1)</x:f>
      </x:c>
      <x:c r="E52" s="36"/>
    </x:row>
    <x:row r="53" ht="42" customHeight="1">
      <x:c r="A53" s="62" t="n">
        <x:v>46373</x:v>
      </x:c>
      <x:c r="B53" s="55"/>
      <x:c r="C53" s="60" t="str">
        <x:f>IF(OR(B53="",B52=""),"",B53-B52)</x:f>
      </x:c>
      <x:c r="D53" s="60" t="str">
        <x:f>IF(B53="","",ROW()-1)</x:f>
      </x:c>
      <x:c r="E53" s="36"/>
    </x:row>
    <x:row r="54" ht="42" customHeight="1">
      <x:c r="A54" s="62" t="n">
        <x:v>46374</x:v>
      </x:c>
      <x:c r="B54" s="55"/>
      <x:c r="C54" s="60" t="str">
        <x:f>IF(OR(B54="",B53=""),"",B54-B53)</x:f>
      </x:c>
      <x:c r="D54" s="60" t="str">
        <x:f>IF(B54="","",ROW()-1)</x:f>
      </x:c>
      <x:c r="E54" s="36"/>
    </x:row>
    <x:row r="55" ht="42" customHeight="1">
      <x:c r="A55" s="62" t="n">
        <x:v>46375</x:v>
      </x:c>
      <x:c r="B55" s="55"/>
      <x:c r="C55" s="60" t="str">
        <x:f>IF(OR(B55="",B54=""),"",B55-B54)</x:f>
      </x:c>
      <x:c r="D55" s="60" t="str">
        <x:f>IF(B55="","",ROW()-1)</x:f>
      </x:c>
      <x:c r="E55" s="36"/>
    </x:row>
    <x:row r="56" ht="42" customHeight="1">
      <x:c r="A56" s="62" t="n">
        <x:v>46376</x:v>
      </x:c>
      <x:c r="B56" s="55"/>
      <x:c r="C56" s="60" t="str">
        <x:f>IF(OR(B56="",B55=""),"",B56-B55)</x:f>
      </x:c>
      <x:c r="D56" s="60" t="str">
        <x:f>IF(B56="","",ROW()-1)</x:f>
      </x:c>
      <x:c r="E56" s="36"/>
    </x:row>
    <x:row r="57" ht="42" customHeight="1">
      <x:c r="A57" s="62" t="n">
        <x:v>46377</x:v>
      </x:c>
      <x:c r="B57" s="55"/>
      <x:c r="C57" s="60" t="str">
        <x:f>IF(OR(B57="",B56=""),"",B57-B56)</x:f>
      </x:c>
      <x:c r="D57" s="60" t="str">
        <x:f>IF(B57="","",ROW()-1)</x:f>
      </x:c>
      <x:c r="E57" s="36"/>
    </x:row>
    <x:row r="58" ht="42" customHeight="1">
      <x:c r="A58" s="62" t="n">
        <x:v>46378</x:v>
      </x:c>
      <x:c r="B58" s="55"/>
      <x:c r="C58" s="60" t="str">
        <x:f>IF(OR(B58="",B57=""),"",B58-B57)</x:f>
      </x:c>
      <x:c r="D58" s="60" t="str">
        <x:f>IF(B58="","",ROW()-1)</x:f>
      </x:c>
      <x:c r="E58" s="36"/>
    </x:row>
    <x:row r="59" ht="42" customHeight="1">
      <x:c r="A59" s="62" t="n">
        <x:v>46379</x:v>
      </x:c>
      <x:c r="B59" s="55"/>
      <x:c r="C59" s="60" t="str">
        <x:f>IF(OR(B59="",B58=""),"",B59-B58)</x:f>
      </x:c>
      <x:c r="D59" s="60" t="str">
        <x:f>IF(B59="","",ROW()-1)</x:f>
      </x:c>
      <x:c r="E59" s="36"/>
    </x:row>
    <x:row r="60" ht="42" customHeight="1">
      <x:c r="A60" s="62" t="n">
        <x:v>46380</x:v>
      </x:c>
      <x:c r="B60" s="55"/>
      <x:c r="C60" s="60" t="str">
        <x:f>IF(OR(B60="",B59=""),"",B60-B59)</x:f>
      </x:c>
      <x:c r="D60" s="60" t="str">
        <x:f>IF(B60="","",ROW()-1)</x:f>
      </x:c>
      <x:c r="E60" s="36"/>
    </x:row>
    <x:row r="61" ht="42" customHeight="1">
      <x:c r="A61" s="62" t="n">
        <x:v>46381</x:v>
      </x:c>
      <x:c r="B61" s="55"/>
      <x:c r="C61" s="60" t="str">
        <x:f>IF(OR(B61="",B60=""),"",B61-B60)</x:f>
      </x:c>
      <x:c r="D61" s="60" t="str">
        <x:f>IF(B61="","",ROW()-1)</x:f>
      </x:c>
      <x:c r="E61" s="36"/>
    </x:row>
    <x:row r="62" ht="42" customHeight="1">
      <x:c r="A62" s="62" t="n">
        <x:v>46382</x:v>
      </x:c>
      <x:c r="B62" s="55"/>
      <x:c r="C62" s="60" t="str">
        <x:f>IF(OR(B62="",B61=""),"",B62-B61)</x:f>
      </x:c>
      <x:c r="D62" s="60" t="str">
        <x:f>IF(B62="","",ROW()-1)</x:f>
      </x:c>
      <x:c r="E62" s="36"/>
    </x:row>
    <x:row r="63" ht="42" customHeight="1">
      <x:c r="A63" s="62" t="n">
        <x:v>46383</x:v>
      </x:c>
      <x:c r="B63" s="55"/>
      <x:c r="C63" s="60" t="str">
        <x:f>IF(OR(B63="",B62=""),"",B63-B62)</x:f>
      </x:c>
      <x:c r="D63" s="60" t="str">
        <x:f>IF(B63="","",ROW()-1)</x:f>
      </x:c>
      <x:c r="E63" s="36"/>
    </x:row>
    <x:row r="64" ht="42" customHeight="1">
      <x:c r="A64" s="62" t="n">
        <x:v>46384</x:v>
      </x:c>
      <x:c r="B64" s="55"/>
      <x:c r="C64" s="60" t="str">
        <x:f>IF(OR(B64="",B63=""),"",B64-B63)</x:f>
      </x:c>
      <x:c r="D64" s="60" t="str">
        <x:f>IF(B64="","",ROW()-1)</x:f>
      </x:c>
      <x:c r="E64" s="36"/>
    </x:row>
    <x:row r="65" ht="42" customHeight="1">
      <x:c r="A65" s="62" t="n">
        <x:v>46385</x:v>
      </x:c>
      <x:c r="B65" s="55"/>
      <x:c r="C65" s="60" t="str">
        <x:f>IF(OR(B65="",B64=""),"",B65-B64)</x:f>
      </x:c>
      <x:c r="D65" s="60" t="str">
        <x:f>IF(B65="","",ROW()-1)</x:f>
      </x:c>
      <x:c r="E65" s="36"/>
    </x:row>
    <x:row r="66" ht="42" customHeight="1">
      <x:c r="A66" s="62" t="n">
        <x:v>46386</x:v>
      </x:c>
      <x:c r="B66" s="55"/>
      <x:c r="C66" s="60" t="str">
        <x:f>IF(OR(B66="",B65=""),"",B66-B65)</x:f>
      </x:c>
      <x:c r="D66" s="60" t="str">
        <x:f>IF(B66="","",ROW()-1)</x:f>
      </x:c>
      <x:c r="E66" s="36"/>
    </x:row>
    <x:row r="67" ht="42" customHeight="1">
      <x:c r="A67" s="62" t="n">
        <x:v>46387</x:v>
      </x:c>
      <x:c r="B67" s="55"/>
      <x:c r="C67" s="60" t="str">
        <x:f>IF(OR(B67="",B66=""),"",B67-B66)</x:f>
      </x:c>
      <x:c r="D67" s="60" t="str">
        <x:f>IF(B67="","",ROW()-1)</x:f>
      </x:c>
      <x:c r="E67" s="36"/>
    </x:row>
    <x:row r="68" ht="42" customHeight="1">
      <x:c r="A68" s="62" t="n">
        <x:v>46388</x:v>
      </x:c>
      <x:c r="B68" s="55"/>
      <x:c r="C68" s="60" t="str">
        <x:f>IF(OR(B68="",B67=""),"",B68-B67)</x:f>
      </x:c>
      <x:c r="D68" s="60" t="str">
        <x:f>IF(B68="","",ROW()-1)</x:f>
      </x:c>
      <x:c r="E68" s="36"/>
    </x:row>
    <x:row r="69" ht="42" customHeight="1">
      <x:c r="A69" s="62" t="n">
        <x:v>46389</x:v>
      </x:c>
      <x:c r="B69" s="55"/>
      <x:c r="C69" s="60" t="str">
        <x:f>IF(OR(B69="",B68=""),"",B69-B68)</x:f>
      </x:c>
      <x:c r="D69" s="60" t="str">
        <x:f>IF(B69="","",ROW()-1)</x:f>
      </x:c>
      <x:c r="E69" s="36"/>
    </x:row>
    <x:row r="70" ht="42" customHeight="1">
      <x:c r="A70" s="62" t="n">
        <x:v>46390</x:v>
      </x:c>
      <x:c r="B70" s="55"/>
      <x:c r="C70" s="60" t="str">
        <x:f>IF(OR(B70="",B69=""),"",B70-B69)</x:f>
      </x:c>
      <x:c r="D70" s="60" t="str">
        <x:f>IF(B70="","",ROW()-1)</x:f>
      </x:c>
      <x:c r="E70" s="36"/>
    </x:row>
    <x:row r="71" ht="42" customHeight="1">
      <x:c r="A71" s="62" t="n">
        <x:v>46391</x:v>
      </x:c>
      <x:c r="B71" s="55"/>
      <x:c r="C71" s="60" t="str">
        <x:f>IF(OR(B71="",B70=""),"",B71-B70)</x:f>
      </x:c>
      <x:c r="D71" s="60" t="str">
        <x:f>IF(B71="","",ROW()-1)</x:f>
      </x:c>
      <x:c r="E71" s="36"/>
    </x:row>
    <x:row r="72" ht="42" customHeight="1">
      <x:c r="A72" s="62" t="n">
        <x:v>46392</x:v>
      </x:c>
      <x:c r="B72" s="55"/>
      <x:c r="C72" s="60" t="str">
        <x:f>IF(OR(B72="",B71=""),"",B72-B71)</x:f>
      </x:c>
      <x:c r="D72" s="60" t="str">
        <x:f>IF(B72="","",ROW()-1)</x:f>
      </x:c>
      <x:c r="E72" s="36"/>
    </x:row>
    <x:row r="73" ht="42" customHeight="1">
      <x:c r="A73" s="62" t="n">
        <x:v>46393</x:v>
      </x:c>
      <x:c r="B73" s="55"/>
      <x:c r="C73" s="60" t="str">
        <x:f>IF(OR(B73="",B72=""),"",B73-B72)</x:f>
      </x:c>
      <x:c r="D73" s="60" t="str">
        <x:f>IF(B73="","",ROW()-1)</x:f>
      </x:c>
      <x:c r="E73" s="36"/>
    </x:row>
    <x:row r="74" ht="42" customHeight="1">
      <x:c r="A74" s="62" t="n">
        <x:v>46394</x:v>
      </x:c>
      <x:c r="B74" s="55"/>
      <x:c r="C74" s="60" t="str">
        <x:f>IF(OR(B74="",B73=""),"",B74-B73)</x:f>
      </x:c>
      <x:c r="D74" s="60" t="str">
        <x:f>IF(B74="","",ROW()-1)</x:f>
      </x:c>
      <x:c r="E74" s="36"/>
    </x:row>
    <x:row r="75" ht="42" customHeight="1">
      <x:c r="A75" s="62" t="n">
        <x:v>46395</x:v>
      </x:c>
      <x:c r="B75" s="55"/>
      <x:c r="C75" s="60" t="str">
        <x:f>IF(OR(B75="",B74=""),"",B75-B74)</x:f>
      </x:c>
      <x:c r="D75" s="60" t="str">
        <x:f>IF(B75="","",ROW()-1)</x:f>
      </x:c>
      <x:c r="E75" s="36"/>
    </x:row>
    <x:row r="76" ht="42" customHeight="1">
      <x:c r="A76" s="62" t="n">
        <x:v>46396</x:v>
      </x:c>
      <x:c r="B76" s="55"/>
      <x:c r="C76" s="60" t="str">
        <x:f>IF(OR(B76="",B75=""),"",B76-B75)</x:f>
      </x:c>
      <x:c r="D76" s="60" t="str">
        <x:f>IF(B76="","",ROW()-1)</x:f>
      </x:c>
      <x:c r="E76" s="36"/>
    </x:row>
    <x:row r="77" ht="42" customHeight="1">
      <x:c r="A77" s="62" t="n">
        <x:v>46397</x:v>
      </x:c>
      <x:c r="B77" s="55"/>
      <x:c r="C77" s="60" t="str">
        <x:f>IF(OR(B77="",B76=""),"",B77-B76)</x:f>
      </x:c>
      <x:c r="D77" s="60" t="str">
        <x:f>IF(B77="","",ROW()-1)</x:f>
      </x:c>
      <x:c r="E77" s="36"/>
    </x:row>
    <x:row r="78" ht="42" customHeight="1">
      <x:c r="A78" s="62" t="n">
        <x:v>46398</x:v>
      </x:c>
      <x:c r="B78" s="55"/>
      <x:c r="C78" s="60" t="str">
        <x:f>IF(OR(B78="",B77=""),"",B78-B77)</x:f>
      </x:c>
      <x:c r="D78" s="60" t="str">
        <x:f>IF(B78="","",ROW()-1)</x:f>
      </x:c>
      <x:c r="E78" s="36"/>
    </x:row>
    <x:row r="79" ht="42" customHeight="1">
      <x:c r="A79" s="62" t="n">
        <x:v>46399</x:v>
      </x:c>
      <x:c r="B79" s="55"/>
      <x:c r="C79" s="60" t="str">
        <x:f>IF(OR(B79="",B78=""),"",B79-B78)</x:f>
      </x:c>
      <x:c r="D79" s="60" t="str">
        <x:f>IF(B79="","",ROW()-1)</x:f>
      </x:c>
      <x:c r="E79" s="36"/>
    </x:row>
    <x:row r="80" ht="42" customHeight="1">
      <x:c r="A80" s="62" t="n">
        <x:v>46400</x:v>
      </x:c>
      <x:c r="B80" s="55"/>
      <x:c r="C80" s="60" t="str">
        <x:f>IF(OR(B80="",B79=""),"",B80-B79)</x:f>
      </x:c>
      <x:c r="D80" s="60" t="str">
        <x:f>IF(B80="","",ROW()-1)</x:f>
      </x:c>
      <x:c r="E80" s="36"/>
    </x:row>
    <x:row r="81" ht="42" customHeight="1">
      <x:c r="A81" s="62" t="n">
        <x:v>46401</x:v>
      </x:c>
      <x:c r="B81" s="55"/>
      <x:c r="C81" s="60" t="str">
        <x:f>IF(OR(B81="",B80=""),"",B81-B80)</x:f>
      </x:c>
      <x:c r="D81" s="60" t="str">
        <x:f>IF(B81="","",ROW()-1)</x:f>
      </x:c>
      <x:c r="E81" s="36"/>
    </x:row>
    <x:row r="82" ht="42" customHeight="1">
      <x:c r="A82" s="62" t="n">
        <x:v>46402</x:v>
      </x:c>
      <x:c r="B82" s="55"/>
      <x:c r="C82" s="60" t="str">
        <x:f>IF(OR(B82="",B81=""),"",B82-B81)</x:f>
      </x:c>
      <x:c r="D82" s="60" t="str">
        <x:f>IF(B82="","",ROW()-1)</x:f>
      </x:c>
      <x:c r="E82" s="36"/>
    </x:row>
    <x:row r="83" ht="42" customHeight="1">
      <x:c r="A83" s="62" t="n">
        <x:v>46403</x:v>
      </x:c>
      <x:c r="B83" s="55"/>
      <x:c r="C83" s="60" t="str">
        <x:f>IF(OR(B83="",B82=""),"",B83-B82)</x:f>
      </x:c>
      <x:c r="D83" s="60" t="str">
        <x:f>IF(B83="","",ROW()-1)</x:f>
      </x:c>
      <x:c r="E83" s="36"/>
    </x:row>
    <x:row r="84" ht="42" customHeight="1">
      <x:c r="A84" s="62" t="n">
        <x:v>46404</x:v>
      </x:c>
      <x:c r="B84" s="55"/>
      <x:c r="C84" s="60" t="str">
        <x:f>IF(OR(B84="",B83=""),"",B84-B83)</x:f>
      </x:c>
      <x:c r="D84" s="60" t="str">
        <x:f>IF(B84="","",ROW()-1)</x:f>
      </x:c>
      <x:c r="E84" s="36"/>
    </x:row>
    <x:row r="85" ht="42" customHeight="1">
      <x:c r="A85" s="62" t="n">
        <x:v>46405</x:v>
      </x:c>
      <x:c r="B85" s="55"/>
      <x:c r="C85" s="60" t="str">
        <x:f>IF(OR(B85="",B84=""),"",B85-B84)</x:f>
      </x:c>
      <x:c r="D85" s="60" t="str">
        <x:f>IF(B85="","",ROW()-1)</x:f>
      </x:c>
      <x:c r="E85" s="36"/>
    </x:row>
    <x:row r="86" ht="42" customHeight="1">
      <x:c r="A86" s="62" t="n">
        <x:v>46406</x:v>
      </x:c>
      <x:c r="B86" s="55"/>
      <x:c r="C86" s="60" t="str">
        <x:f>IF(OR(B86="",B85=""),"",B86-B85)</x:f>
      </x:c>
      <x:c r="D86" s="60" t="str">
        <x:f>IF(B86="","",ROW()-1)</x:f>
      </x:c>
      <x:c r="E86" s="36"/>
    </x:row>
    <x:row r="87" ht="42" customHeight="1">
      <x:c r="A87" s="62" t="n">
        <x:v>46407</x:v>
      </x:c>
      <x:c r="B87" s="55"/>
      <x:c r="C87" s="60" t="str">
        <x:f>IF(OR(B87="",B86=""),"",B87-B86)</x:f>
      </x:c>
      <x:c r="D87" s="60" t="str">
        <x:f>IF(B87="","",ROW()-1)</x:f>
      </x:c>
      <x:c r="E87" s="36"/>
    </x:row>
    <x:row r="88" ht="42" customHeight="1">
      <x:c r="A88" s="62" t="n">
        <x:v>46408</x:v>
      </x:c>
      <x:c r="B88" s="55"/>
      <x:c r="C88" s="60" t="str">
        <x:f>IF(OR(B88="",B87=""),"",B88-B87)</x:f>
      </x:c>
      <x:c r="D88" s="60" t="str">
        <x:f>IF(B88="","",ROW()-1)</x:f>
      </x:c>
      <x:c r="E88" s="36"/>
    </x:row>
    <x:row r="89" ht="42" customHeight="1">
      <x:c r="A89" s="62" t="n">
        <x:v>46409</x:v>
      </x:c>
      <x:c r="B89" s="55"/>
      <x:c r="C89" s="60" t="str">
        <x:f>IF(OR(B89="",B88=""),"",B89-B88)</x:f>
      </x:c>
      <x:c r="D89" s="60" t="str">
        <x:f>IF(B89="","",ROW()-1)</x:f>
      </x:c>
      <x:c r="E89" s="36"/>
    </x:row>
    <x:row r="90" ht="42" customHeight="1">
      <x:c r="A90" s="62" t="n">
        <x:v>46410</x:v>
      </x:c>
      <x:c r="B90" s="55"/>
      <x:c r="C90" s="60" t="str">
        <x:f>IF(OR(B90="",B89=""),"",B90-B89)</x:f>
      </x:c>
      <x:c r="D90" s="60" t="str">
        <x:f>IF(B90="","",ROW()-1)</x:f>
      </x:c>
      <x:c r="E90" s="36"/>
    </x:row>
    <x:row r="91" ht="42" customHeight="1">
      <x:c r="A91" s="62" t="n">
        <x:v>46411</x:v>
      </x:c>
      <x:c r="B91" s="55"/>
      <x:c r="C91" s="60" t="str">
        <x:f>IF(OR(B91="",B90=""),"",B91-B90)</x:f>
      </x:c>
      <x:c r="D91" s="60" t="str">
        <x:f>IF(B91="","",ROW()-1)</x:f>
      </x:c>
      <x:c r="E91" s="36"/>
    </x:row>
    <x:row r="92" ht="42" customHeight="1">
      <x:c r="A92" s="62" t="n">
        <x:v>46412</x:v>
      </x:c>
      <x:c r="B92" s="55"/>
      <x:c r="C92" s="60" t="str">
        <x:f>IF(OR(B92="",B91=""),"",B92-B91)</x:f>
      </x:c>
      <x:c r="D92" s="60" t="str">
        <x:f>IF(B92="","",ROW()-1)</x:f>
      </x:c>
      <x:c r="E92" s="36"/>
    </x:row>
    <x:row r="93" ht="42" customHeight="1">
      <x:c r="A93" s="62" t="n">
        <x:v>46413</x:v>
      </x:c>
      <x:c r="B93" s="55"/>
      <x:c r="C93" s="60" t="str">
        <x:f>IF(OR(B93="",B92=""),"",B93-B92)</x:f>
      </x:c>
      <x:c r="D93" s="60" t="str">
        <x:f>IF(B93="","",ROW()-1)</x:f>
      </x:c>
      <x:c r="E93" s="36"/>
    </x:row>
    <x:row r="94" ht="42" customHeight="1">
      <x:c r="A94" s="62" t="n">
        <x:v>46414</x:v>
      </x:c>
      <x:c r="B94" s="55"/>
      <x:c r="C94" s="60" t="str">
        <x:f>IF(OR(B94="",B93=""),"",B94-B93)</x:f>
      </x:c>
      <x:c r="D94" s="60" t="str">
        <x:f>IF(B94="","",ROW()-1)</x:f>
      </x:c>
      <x:c r="E94" s="36"/>
    </x:row>
    <x:row r="95" ht="42" customHeight="1">
      <x:c r="A95" s="62" t="n">
        <x:v>46415</x:v>
      </x:c>
      <x:c r="B95" s="55"/>
      <x:c r="C95" s="60" t="str">
        <x:f>IF(OR(B95="",B94=""),"",B95-B94)</x:f>
      </x:c>
      <x:c r="D95" s="60" t="str">
        <x:f>IF(B95="","",ROW()-1)</x:f>
      </x:c>
      <x:c r="E95" s="36"/>
    </x:row>
    <x:row r="96" ht="42" customHeight="1">
      <x:c r="A96" s="62" t="n">
        <x:v>46416</x:v>
      </x:c>
      <x:c r="B96" s="55"/>
      <x:c r="C96" s="60" t="str">
        <x:f>IF(OR(B96="",B95=""),"",B96-B95)</x:f>
      </x:c>
      <x:c r="D96" s="60" t="str">
        <x:f>IF(B96="","",ROW()-1)</x:f>
      </x:c>
      <x:c r="E96" s="36"/>
    </x:row>
    <x:row r="97" ht="42" customHeight="1">
      <x:c r="A97" s="62" t="n">
        <x:v>46417</x:v>
      </x:c>
      <x:c r="B97" s="55"/>
      <x:c r="C97" s="60" t="str">
        <x:f>IF(OR(B97="",B96=""),"",B97-B96)</x:f>
      </x:c>
      <x:c r="D97" s="60" t="str">
        <x:f>IF(B97="","",ROW()-1)</x:f>
      </x:c>
      <x:c r="E97" s="36"/>
    </x:row>
    <x:row r="98" ht="42" customHeight="1">
      <x:c r="A98" s="62" t="n">
        <x:v>46418</x:v>
      </x:c>
      <x:c r="B98" s="55"/>
      <x:c r="C98" s="60" t="str">
        <x:f>IF(OR(B98="",B97=""),"",B98-B97)</x:f>
      </x:c>
      <x:c r="D98" s="60" t="str">
        <x:f>IF(B98="","",ROW()-1)</x:f>
      </x:c>
      <x:c r="E98" s="36"/>
    </x:row>
    <x:row r="99" ht="42" customHeight="1">
      <x:c r="A99" s="62" t="n">
        <x:v>46419</x:v>
      </x:c>
      <x:c r="B99" s="55"/>
      <x:c r="C99" s="60" t="str">
        <x:f>IF(OR(B99="",B98=""),"",B99-B98)</x:f>
      </x:c>
      <x:c r="D99" s="60" t="str">
        <x:f>IF(B99="","",ROW()-1)</x:f>
      </x:c>
      <x:c r="E99" s="36"/>
    </x:row>
    <x:row r="100" ht="42" customHeight="1">
      <x:c r="A100" s="62" t="n">
        <x:v>46420</x:v>
      </x:c>
      <x:c r="B100" s="55"/>
      <x:c r="C100" s="60" t="str">
        <x:f>IF(OR(B100="",B99=""),"",B100-B99)</x:f>
      </x:c>
      <x:c r="D100" s="60" t="str">
        <x:f>IF(B100="","",ROW()-1)</x:f>
      </x:c>
      <x:c r="E100" s="36"/>
    </x:row>
    <x:row r="101" ht="42" customHeight="1">
      <x:c r="A101" s="62" t="n">
        <x:v>46421</x:v>
      </x:c>
      <x:c r="B101" s="55"/>
      <x:c r="C101" s="60" t="str">
        <x:f>IF(OR(B101="",B100=""),"",B101-B100)</x:f>
      </x:c>
      <x:c r="D101" s="60" t="str">
        <x:f>IF(B101="","",ROW()-1)</x:f>
      </x:c>
      <x:c r="E101" s="36"/>
    </x:row>
    <x:row r="102" ht="42" customHeight="1">
      <x:c r="A102" s="62" t="n">
        <x:v>46422</x:v>
      </x:c>
      <x:c r="B102" s="55"/>
      <x:c r="C102" s="60" t="str">
        <x:f>IF(OR(B102="",B101=""),"",B102-B101)</x:f>
      </x:c>
      <x:c r="D102" s="60" t="str">
        <x:f>IF(B102="","",ROW()-1)</x:f>
      </x:c>
      <x:c r="E102" s="36"/>
    </x:row>
    <x:row r="103" ht="42" customHeight="1">
      <x:c r="A103" s="62" t="n">
        <x:v>46423</x:v>
      </x:c>
      <x:c r="B103" s="55"/>
      <x:c r="C103" s="60" t="str">
        <x:f>IF(OR(B103="",B102=""),"",B103-B102)</x:f>
      </x:c>
      <x:c r="D103" s="60" t="str">
        <x:f>IF(B103="","",ROW()-1)</x:f>
      </x:c>
      <x:c r="E103" s="36"/>
    </x:row>
    <x:row r="104" ht="42" customHeight="1">
      <x:c r="A104" s="62" t="n">
        <x:v>46424</x:v>
      </x:c>
      <x:c r="B104" s="55"/>
      <x:c r="C104" s="60" t="str">
        <x:f>IF(OR(B104="",B103=""),"",B104-B103)</x:f>
      </x:c>
      <x:c r="D104" s="60" t="str">
        <x:f>IF(B104="","",ROW()-1)</x:f>
      </x:c>
      <x:c r="E104" s="36"/>
    </x:row>
    <x:row r="105" ht="42" customHeight="1">
      <x:c r="A105" s="62" t="n">
        <x:v>46425</x:v>
      </x:c>
      <x:c r="B105" s="55"/>
      <x:c r="C105" s="60" t="str">
        <x:f>IF(OR(B105="",B104=""),"",B105-B104)</x:f>
      </x:c>
      <x:c r="D105" s="60" t="str">
        <x:f>IF(B105="","",ROW()-1)</x:f>
      </x:c>
      <x:c r="E105" s="36"/>
    </x:row>
    <x:row r="106" ht="42" customHeight="1">
      <x:c r="A106" s="62" t="n">
        <x:v>46426</x:v>
      </x:c>
      <x:c r="B106" s="55"/>
      <x:c r="C106" s="60" t="str">
        <x:f>IF(OR(B106="",B105=""),"",B106-B105)</x:f>
      </x:c>
      <x:c r="D106" s="60" t="str">
        <x:f>IF(B106="","",ROW()-1)</x:f>
      </x:c>
      <x:c r="E106" s="36"/>
    </x:row>
    <x:row r="107" ht="42" customHeight="1">
      <x:c r="A107" s="62" t="n">
        <x:v>46427</x:v>
      </x:c>
      <x:c r="B107" s="55"/>
      <x:c r="C107" s="60" t="str">
        <x:f>IF(OR(B107="",B106=""),"",B107-B106)</x:f>
      </x:c>
      <x:c r="D107" s="60" t="str">
        <x:f>IF(B107="","",ROW()-1)</x:f>
      </x:c>
      <x:c r="E107" s="36"/>
    </x:row>
    <x:row r="108" ht="42" customHeight="1">
      <x:c r="A108" s="62" t="n">
        <x:v>46428</x:v>
      </x:c>
      <x:c r="B108" s="55"/>
      <x:c r="C108" s="60" t="str">
        <x:f>IF(OR(B108="",B107=""),"",B108-B107)</x:f>
      </x:c>
      <x:c r="D108" s="60" t="str">
        <x:f>IF(B108="","",ROW()-1)</x:f>
      </x:c>
      <x:c r="E108" s="36"/>
    </x:row>
    <x:row r="109" ht="42" customHeight="1">
      <x:c r="A109" s="62" t="n">
        <x:v>46429</x:v>
      </x:c>
      <x:c r="B109" s="55"/>
      <x:c r="C109" s="60" t="str">
        <x:f>IF(OR(B109="",B108=""),"",B109-B108)</x:f>
      </x:c>
      <x:c r="D109" s="60" t="str">
        <x:f>IF(B109="","",ROW()-1)</x:f>
      </x:c>
      <x:c r="E109" s="36"/>
    </x:row>
    <x:row r="110" ht="42" customHeight="1">
      <x:c r="A110" s="62" t="n">
        <x:v>46430</x:v>
      </x:c>
      <x:c r="B110" s="55"/>
      <x:c r="C110" s="60" t="str">
        <x:f>IF(OR(B110="",B109=""),"",B110-B109)</x:f>
      </x:c>
      <x:c r="D110" s="60" t="str">
        <x:f>IF(B110="","",ROW()-1)</x:f>
      </x:c>
      <x:c r="E110" s="36"/>
    </x:row>
    <x:row r="111" ht="42" customHeight="1">
      <x:c r="A111" s="62" t="n">
        <x:v>46431</x:v>
      </x:c>
      <x:c r="B111" s="55"/>
      <x:c r="C111" s="60" t="str">
        <x:f>IF(OR(B111="",B110=""),"",B111-B110)</x:f>
      </x:c>
      <x:c r="D111" s="60" t="str">
        <x:f>IF(B111="","",ROW()-1)</x:f>
      </x:c>
      <x:c r="E111" s="36"/>
    </x:row>
    <x:row r="112" ht="42" customHeight="1">
      <x:c r="A112" s="62" t="n">
        <x:v>46432</x:v>
      </x:c>
      <x:c r="B112" s="55"/>
      <x:c r="C112" s="60" t="str">
        <x:f>IF(OR(B112="",B111=""),"",B112-B111)</x:f>
      </x:c>
      <x:c r="D112" s="60" t="str">
        <x:f>IF(B112="","",ROW()-1)</x:f>
      </x:c>
      <x:c r="E112" s="36"/>
    </x:row>
    <x:row r="113" ht="42" customHeight="1">
      <x:c r="A113" s="62" t="n">
        <x:v>46433</x:v>
      </x:c>
      <x:c r="B113" s="55"/>
      <x:c r="C113" s="60" t="str">
        <x:f>IF(OR(B113="",B112=""),"",B113-B112)</x:f>
      </x:c>
      <x:c r="D113" s="60" t="str">
        <x:f>IF(B113="","",ROW()-1)</x:f>
      </x:c>
      <x:c r="E113" s="36"/>
    </x:row>
    <x:row r="114" ht="42" customHeight="1">
      <x:c r="A114" s="62" t="n">
        <x:v>46434</x:v>
      </x:c>
      <x:c r="B114" s="55"/>
      <x:c r="C114" s="60" t="str">
        <x:f>IF(OR(B114="",B113=""),"",B114-B113)</x:f>
      </x:c>
      <x:c r="D114" s="60" t="str">
        <x:f>IF(B114="","",ROW()-1)</x:f>
      </x:c>
      <x:c r="E114" s="36"/>
    </x:row>
    <x:row r="115" ht="42" customHeight="1">
      <x:c r="A115" s="62" t="n">
        <x:v>46435</x:v>
      </x:c>
      <x:c r="B115" s="55"/>
      <x:c r="C115" s="60" t="str">
        <x:f>IF(OR(B115="",B114=""),"",B115-B114)</x:f>
      </x:c>
      <x:c r="D115" s="60" t="str">
        <x:f>IF(B115="","",ROW()-1)</x:f>
      </x:c>
      <x:c r="E115" s="36"/>
    </x:row>
    <x:row r="116" ht="42" customHeight="1">
      <x:c r="A116" s="62" t="n">
        <x:v>46436</x:v>
      </x:c>
      <x:c r="B116" s="55"/>
      <x:c r="C116" s="60" t="str">
        <x:f>IF(OR(B116="",B115=""),"",B116-B115)</x:f>
      </x:c>
      <x:c r="D116" s="60" t="str">
        <x:f>IF(B116="","",ROW()-1)</x:f>
      </x:c>
      <x:c r="E116" s="36"/>
    </x:row>
    <x:row r="117" ht="42" customHeight="1">
      <x:c r="A117" s="62" t="n">
        <x:v>46437</x:v>
      </x:c>
      <x:c r="B117" s="55"/>
      <x:c r="C117" s="60" t="str">
        <x:f>IF(OR(B117="",B116=""),"",B117-B116)</x:f>
      </x:c>
      <x:c r="D117" s="60" t="str">
        <x:f>IF(B117="","",ROW()-1)</x:f>
      </x:c>
      <x:c r="E117" s="36"/>
    </x:row>
    <x:row r="118" ht="42" customHeight="1">
      <x:c r="A118" s="62" t="n">
        <x:v>46438</x:v>
      </x:c>
      <x:c r="B118" s="55"/>
      <x:c r="C118" s="60" t="str">
        <x:f>IF(OR(B118="",B117=""),"",B118-B117)</x:f>
      </x:c>
      <x:c r="D118" s="60" t="str">
        <x:f>IF(B118="","",ROW()-1)</x:f>
      </x:c>
      <x:c r="E118" s="36"/>
    </x:row>
    <x:row r="119" ht="42" customHeight="1">
      <x:c r="A119" s="62" t="n">
        <x:v>46439</x:v>
      </x:c>
      <x:c r="B119" s="55"/>
      <x:c r="C119" s="60" t="str">
        <x:f>IF(OR(B119="",B118=""),"",B119-B118)</x:f>
      </x:c>
      <x:c r="D119" s="60" t="str">
        <x:f>IF(B119="","",ROW()-1)</x:f>
      </x:c>
      <x:c r="E119" s="36"/>
    </x:row>
    <x:row r="120" ht="42" customHeight="1">
      <x:c r="A120" s="62" t="n">
        <x:v>46440</x:v>
      </x:c>
      <x:c r="B120" s="55"/>
      <x:c r="C120" s="60" t="str">
        <x:f>IF(OR(B120="",B119=""),"",B120-B119)</x:f>
      </x:c>
      <x:c r="D120" s="60" t="str">
        <x:f>IF(B120="","",ROW()-1)</x:f>
      </x:c>
      <x:c r="E120" s="36"/>
    </x:row>
    <x:row r="121" ht="42" customHeight="1">
      <x:c r="A121" s="62" t="n">
        <x:v>46441</x:v>
      </x:c>
      <x:c r="B121" s="55"/>
      <x:c r="C121" s="60" t="str">
        <x:f>IF(OR(B121="",B120=""),"",B121-B120)</x:f>
      </x:c>
      <x:c r="D121" s="60" t="str">
        <x:f>IF(B121="","",ROW()-1)</x:f>
      </x:c>
      <x:c r="E121" s="36"/>
    </x:row>
    <x:row r="122" ht="42" customHeight="1">
      <x:c r="A122" s="62" t="n">
        <x:v>46442</x:v>
      </x:c>
      <x:c r="B122" s="55"/>
      <x:c r="C122" s="60" t="str">
        <x:f>IF(OR(B122="",B121=""),"",B122-B121)</x:f>
      </x:c>
      <x:c r="D122" s="60" t="str">
        <x:f>IF(B122="","",ROW()-1)</x:f>
      </x:c>
      <x:c r="E122" s="36"/>
    </x:row>
    <x:row r="123" ht="42" customHeight="1">
      <x:c r="A123" s="62" t="n">
        <x:v>46443</x:v>
      </x:c>
      <x:c r="B123" s="55"/>
      <x:c r="C123" s="60" t="str">
        <x:f>IF(OR(B123="",B122=""),"",B123-B122)</x:f>
      </x:c>
      <x:c r="D123" s="60" t="str">
        <x:f>IF(B123="","",ROW()-1)</x:f>
      </x:c>
      <x:c r="E123" s="36"/>
    </x:row>
    <x:row r="124" ht="42" customHeight="1">
      <x:c r="A124" s="62" t="n">
        <x:v>46444</x:v>
      </x:c>
      <x:c r="B124" s="55"/>
      <x:c r="C124" s="60" t="str">
        <x:f>IF(OR(B124="",B123=""),"",B124-B123)</x:f>
      </x:c>
      <x:c r="D124" s="60" t="str">
        <x:f>IF(B124="","",ROW()-1)</x:f>
      </x:c>
      <x:c r="E124" s="36"/>
    </x:row>
    <x:row r="125" ht="42" customHeight="1">
      <x:c r="A125" s="62" t="n">
        <x:v>46445</x:v>
      </x:c>
      <x:c r="B125" s="55"/>
      <x:c r="C125" s="60" t="str">
        <x:f>IF(OR(B125="",B124=""),"",B125-B124)</x:f>
      </x:c>
      <x:c r="D125" s="60" t="str">
        <x:f>IF(B125="","",ROW()-1)</x:f>
      </x:c>
      <x:c r="E125" s="36"/>
    </x:row>
    <x:row r="126" ht="42" customHeight="1">
      <x:c r="A126" s="62" t="n">
        <x:v>46446</x:v>
      </x:c>
      <x:c r="B126" s="55"/>
      <x:c r="C126" s="60" t="str">
        <x:f>IF(OR(B126="",B125=""),"",B126-B125)</x:f>
      </x:c>
      <x:c r="D126" s="60" t="str">
        <x:f>IF(B126="","",ROW()-1)</x:f>
      </x:c>
      <x:c r="E126" s="36"/>
    </x:row>
    <x:row r="127" ht="42" customHeight="1">
      <x:c r="A127" s="62" t="n">
        <x:v>46447</x:v>
      </x:c>
      <x:c r="B127" s="55"/>
      <x:c r="C127" s="60" t="str">
        <x:f>IF(OR(B127="",B126=""),"",B127-B126)</x:f>
      </x:c>
      <x:c r="D127" s="60" t="str">
        <x:f>IF(B127="","",ROW()-1)</x:f>
      </x:c>
      <x:c r="E127" s="36"/>
    </x:row>
    <x:row r="128" ht="42" customHeight="1">
      <x:c r="A128" s="62" t="n">
        <x:v>46448</x:v>
      </x:c>
      <x:c r="B128" s="55"/>
      <x:c r="C128" s="60" t="str">
        <x:f>IF(OR(B128="",B127=""),"",B128-B127)</x:f>
      </x:c>
      <x:c r="D128" s="60" t="str">
        <x:f>IF(B128="","",ROW()-1)</x:f>
      </x:c>
      <x:c r="E128" s="36"/>
    </x:row>
    <x:row r="129" ht="42" customHeight="1">
      <x:c r="A129" s="62" t="n">
        <x:v>46449</x:v>
      </x:c>
      <x:c r="B129" s="55"/>
      <x:c r="C129" s="60" t="str">
        <x:f>IF(OR(B129="",B128=""),"",B129-B128)</x:f>
      </x:c>
      <x:c r="D129" s="60" t="str">
        <x:f>IF(B129="","",ROW()-1)</x:f>
      </x:c>
      <x:c r="E129" s="36"/>
    </x:row>
    <x:row r="130" ht="42" customHeight="1">
      <x:c r="A130" s="62" t="n">
        <x:v>46450</x:v>
      </x:c>
      <x:c r="B130" s="55"/>
      <x:c r="C130" s="60" t="str">
        <x:f>IF(OR(B130="",B129=""),"",B130-B129)</x:f>
      </x:c>
      <x:c r="D130" s="60" t="str">
        <x:f>IF(B130="","",ROW()-1)</x:f>
      </x:c>
      <x:c r="E130" s="36"/>
    </x:row>
    <x:row r="131" ht="42" customHeight="1">
      <x:c r="A131" s="62" t="n">
        <x:v>46451</x:v>
      </x:c>
      <x:c r="B131" s="55"/>
      <x:c r="C131" s="60" t="str">
        <x:f>IF(OR(B131="",B130=""),"",B131-B130)</x:f>
      </x:c>
      <x:c r="D131" s="60" t="str">
        <x:f>IF(B131="","",ROW()-1)</x:f>
      </x:c>
      <x:c r="E131" s="36"/>
    </x:row>
    <x:row r="132" ht="42" customHeight="1">
      <x:c r="A132" s="62" t="n">
        <x:v>46452</x:v>
      </x:c>
      <x:c r="B132" s="55"/>
      <x:c r="C132" s="60" t="str">
        <x:f>IF(OR(B132="",B131=""),"",B132-B131)</x:f>
      </x:c>
      <x:c r="D132" s="60" t="str">
        <x:f>IF(B132="","",ROW()-1)</x:f>
      </x:c>
      <x:c r="E132" s="36"/>
    </x:row>
    <x:row r="133" ht="42" customHeight="1">
      <x:c r="A133" s="62" t="n">
        <x:v>46453</x:v>
      </x:c>
      <x:c r="B133" s="55"/>
      <x:c r="C133" s="60" t="str">
        <x:f>IF(OR(B133="",B132=""),"",B133-B132)</x:f>
      </x:c>
      <x:c r="D133" s="60" t="str">
        <x:f>IF(B133="","",ROW()-1)</x:f>
      </x:c>
      <x:c r="E133" s="36"/>
    </x:row>
    <x:row r="134" ht="42" customHeight="1">
      <x:c r="A134" s="62" t="n">
        <x:v>46454</x:v>
      </x:c>
      <x:c r="B134" s="55"/>
      <x:c r="C134" s="60" t="str">
        <x:f>IF(OR(B134="",B133=""),"",B134-B133)</x:f>
      </x:c>
      <x:c r="D134" s="60" t="str">
        <x:f>IF(B134="","",ROW()-1)</x:f>
      </x:c>
      <x:c r="E134" s="36"/>
    </x:row>
    <x:row r="135" ht="42" customHeight="1">
      <x:c r="A135" s="62" t="n">
        <x:v>46455</x:v>
      </x:c>
      <x:c r="B135" s="55"/>
      <x:c r="C135" s="60" t="str">
        <x:f>IF(OR(B135="",B134=""),"",B135-B134)</x:f>
      </x:c>
      <x:c r="D135" s="60" t="str">
        <x:f>IF(B135="","",ROW()-1)</x:f>
      </x:c>
      <x:c r="E135" s="36"/>
    </x:row>
    <x:row r="136" ht="42" customHeight="1">
      <x:c r="A136" s="62" t="n">
        <x:v>46456</x:v>
      </x:c>
      <x:c r="B136" s="55"/>
      <x:c r="C136" s="60" t="str">
        <x:f>IF(OR(B136="",B135=""),"",B136-B135)</x:f>
      </x:c>
      <x:c r="D136" s="60" t="str">
        <x:f>IF(B136="","",ROW()-1)</x:f>
      </x:c>
      <x:c r="E136" s="36"/>
    </x:row>
    <x:row r="137" ht="42" customHeight="1">
      <x:c r="A137" s="62" t="n">
        <x:v>46457</x:v>
      </x:c>
      <x:c r="B137" s="55"/>
      <x:c r="C137" s="60" t="str">
        <x:f>IF(OR(B137="",B136=""),"",B137-B136)</x:f>
      </x:c>
      <x:c r="D137" s="60" t="str">
        <x:f>IF(B137="","",ROW()-1)</x:f>
      </x:c>
      <x:c r="E137" s="36"/>
    </x:row>
    <x:row r="138" ht="42" customHeight="1">
      <x:c r="A138" s="62" t="n">
        <x:v>46458</x:v>
      </x:c>
      <x:c r="B138" s="55"/>
      <x:c r="C138" s="60" t="str">
        <x:f>IF(OR(B138="",B137=""),"",B138-B137)</x:f>
      </x:c>
      <x:c r="D138" s="60" t="str">
        <x:f>IF(B138="","",ROW()-1)</x:f>
      </x:c>
      <x:c r="E138" s="36"/>
    </x:row>
    <x:row r="139" ht="42" customHeight="1">
      <x:c r="A139" s="62" t="n">
        <x:v>46459</x:v>
      </x:c>
      <x:c r="B139" s="55"/>
      <x:c r="C139" s="60" t="str">
        <x:f>IF(OR(B139="",B138=""),"",B139-B138)</x:f>
      </x:c>
      <x:c r="D139" s="60" t="str">
        <x:f>IF(B139="","",ROW()-1)</x:f>
      </x:c>
      <x:c r="E139" s="36"/>
    </x:row>
    <x:row r="140" ht="42" customHeight="1">
      <x:c r="A140" s="62" t="n">
        <x:v>46460</x:v>
      </x:c>
      <x:c r="B140" s="55"/>
      <x:c r="C140" s="60" t="str">
        <x:f>IF(OR(B140="",B139=""),"",B140-B139)</x:f>
      </x:c>
      <x:c r="D140" s="60" t="str">
        <x:f>IF(B140="","",ROW()-1)</x:f>
      </x:c>
      <x:c r="E140" s="36"/>
    </x:row>
    <x:row r="141" ht="42" customHeight="1">
      <x:c r="A141" s="62" t="n">
        <x:v>46461</x:v>
      </x:c>
      <x:c r="B141" s="55"/>
      <x:c r="C141" s="60" t="str">
        <x:f>IF(OR(B141="",B140=""),"",B141-B140)</x:f>
      </x:c>
      <x:c r="D141" s="60" t="str">
        <x:f>IF(B141="","",ROW()-1)</x:f>
      </x:c>
      <x:c r="E141" s="36"/>
    </x:row>
    <x:row r="142" ht="42" customHeight="1">
      <x:c r="A142" s="62" t="n">
        <x:v>46462</x:v>
      </x:c>
      <x:c r="B142" s="55"/>
      <x:c r="C142" s="60" t="str">
        <x:f>IF(OR(B142="",B141=""),"",B142-B141)</x:f>
      </x:c>
      <x:c r="D142" s="60" t="str">
        <x:f>IF(B142="","",ROW()-1)</x:f>
      </x:c>
      <x:c r="E142" s="36"/>
    </x:row>
    <x:row r="143" ht="42" customHeight="1">
      <x:c r="A143" s="62" t="n">
        <x:v>46463</x:v>
      </x:c>
      <x:c r="B143" s="55"/>
      <x:c r="C143" s="60" t="str">
        <x:f>IF(OR(B143="",B142=""),"",B143-B142)</x:f>
      </x:c>
      <x:c r="D143" s="60" t="str">
        <x:f>IF(B143="","",ROW()-1)</x:f>
      </x:c>
      <x:c r="E143" s="36"/>
    </x:row>
    <x:row r="144" ht="42" customHeight="1">
      <x:c r="A144" s="62" t="n">
        <x:v>46464</x:v>
      </x:c>
      <x:c r="B144" s="55"/>
      <x:c r="C144" s="60" t="str">
        <x:f>IF(OR(B144="",B143=""),"",B144-B143)</x:f>
      </x:c>
      <x:c r="D144" s="60" t="str">
        <x:f>IF(B144="","",ROW()-1)</x:f>
      </x:c>
      <x:c r="E144" s="36"/>
    </x:row>
    <x:row r="145" ht="42" customHeight="1">
      <x:c r="A145" s="62" t="n">
        <x:v>46465</x:v>
      </x:c>
      <x:c r="B145" s="55"/>
      <x:c r="C145" s="60" t="str">
        <x:f>IF(OR(B145="",B144=""),"",B145-B144)</x:f>
      </x:c>
      <x:c r="D145" s="60" t="str">
        <x:f>IF(B145="","",ROW()-1)</x:f>
      </x:c>
      <x:c r="E145" s="36"/>
    </x:row>
    <x:row r="146" ht="42" customHeight="1">
      <x:c r="A146" s="62" t="n">
        <x:v>46466</x:v>
      </x:c>
      <x:c r="B146" s="55"/>
      <x:c r="C146" s="60" t="str">
        <x:f>IF(OR(B146="",B145=""),"",B146-B145)</x:f>
      </x:c>
      <x:c r="D146" s="60" t="str">
        <x:f>IF(B146="","",ROW()-1)</x:f>
      </x:c>
      <x:c r="E146" s="36"/>
    </x:row>
    <x:row r="147" ht="42" customHeight="1">
      <x:c r="A147" s="62" t="n">
        <x:v>46467</x:v>
      </x:c>
      <x:c r="B147" s="55"/>
      <x:c r="C147" s="60" t="str">
        <x:f>IF(OR(B147="",B146=""),"",B147-B146)</x:f>
      </x:c>
      <x:c r="D147" s="60" t="str">
        <x:f>IF(B147="","",ROW()-1)</x:f>
      </x:c>
      <x:c r="E147" s="36"/>
    </x:row>
    <x:row r="148" ht="42" customHeight="1">
      <x:c r="A148" s="62" t="n">
        <x:v>46468</x:v>
      </x:c>
      <x:c r="B148" s="55"/>
      <x:c r="C148" s="60" t="str">
        <x:f>IF(OR(B148="",B147=""),"",B148-B147)</x:f>
      </x:c>
      <x:c r="D148" s="60" t="str">
        <x:f>IF(B148="","",ROW()-1)</x:f>
      </x:c>
      <x:c r="E148" s="36"/>
    </x:row>
    <x:row r="149" ht="42" customHeight="1">
      <x:c r="A149" s="62" t="n">
        <x:v>46469</x:v>
      </x:c>
      <x:c r="B149" s="55"/>
      <x:c r="C149" s="60" t="str">
        <x:f>IF(OR(B149="",B148=""),"",B149-B148)</x:f>
      </x:c>
      <x:c r="D149" s="60" t="str">
        <x:f>IF(B149="","",ROW()-1)</x:f>
      </x:c>
      <x:c r="E149" s="36"/>
    </x:row>
    <x:row r="150" ht="42" customHeight="1">
      <x:c r="A150" s="62" t="n">
        <x:v>46470</x:v>
      </x:c>
      <x:c r="B150" s="55"/>
      <x:c r="C150" s="60" t="str">
        <x:f>IF(OR(B150="",B149=""),"",B150-B149)</x:f>
      </x:c>
      <x:c r="D150" s="60" t="str">
        <x:f>IF(B150="","",ROW()-1)</x:f>
      </x:c>
      <x:c r="E150" s="36"/>
    </x:row>
    <x:row r="151" ht="42" customHeight="1">
      <x:c r="A151" s="62" t="n">
        <x:v>46471</x:v>
      </x:c>
      <x:c r="B151" s="55"/>
      <x:c r="C151" s="60" t="str">
        <x:f>IF(OR(B151="",B150=""),"",B151-B150)</x:f>
      </x:c>
      <x:c r="D151" s="60" t="str">
        <x:f>IF(B151="","",ROW()-1)</x:f>
      </x:c>
      <x:c r="E151" s="36"/>
    </x:row>
    <x:row r="152" ht="42" customHeight="1">
      <x:c r="A152" s="62" t="n">
        <x:v>46472</x:v>
      </x:c>
      <x:c r="B152" s="55"/>
      <x:c r="C152" s="60" t="str">
        <x:f>IF(OR(B152="",B151=""),"",B152-B151)</x:f>
      </x:c>
      <x:c r="D152" s="60" t="str">
        <x:f>IF(B152="","",ROW()-1)</x:f>
      </x:c>
      <x:c r="E152" s="36"/>
    </x:row>
    <x:row r="153" ht="42" customHeight="1">
      <x:c r="A153" s="62" t="n">
        <x:v>46473</x:v>
      </x:c>
      <x:c r="B153" s="55"/>
      <x:c r="C153" s="60" t="str">
        <x:f>IF(OR(B153="",B152=""),"",B153-B152)</x:f>
      </x:c>
      <x:c r="D153" s="60" t="str">
        <x:f>IF(B153="","",ROW()-1)</x:f>
      </x:c>
      <x:c r="E153" s="36"/>
    </x:row>
    <x:row r="154" ht="42" customHeight="1">
      <x:c r="A154" s="62" t="n">
        <x:v>46474</x:v>
      </x:c>
      <x:c r="B154" s="55"/>
      <x:c r="C154" s="60" t="str">
        <x:f>IF(OR(B154="",B153=""),"",B154-B153)</x:f>
      </x:c>
      <x:c r="D154" s="60" t="str">
        <x:f>IF(B154="","",ROW()-1)</x:f>
      </x:c>
      <x:c r="E154" s="36"/>
    </x:row>
    <x:row r="155" ht="42" customHeight="1">
      <x:c r="A155" s="62" t="n">
        <x:v>46475</x:v>
      </x:c>
      <x:c r="B155" s="55"/>
      <x:c r="C155" s="60" t="str">
        <x:f>IF(OR(B155="",B154=""),"",B155-B154)</x:f>
      </x:c>
      <x:c r="D155" s="60" t="str">
        <x:f>IF(B155="","",ROW()-1)</x:f>
      </x:c>
      <x:c r="E155" s="36"/>
    </x:row>
    <x:row r="156" ht="42" customHeight="1">
      <x:c r="A156" s="62" t="n">
        <x:v>46476</x:v>
      </x:c>
      <x:c r="B156" s="55"/>
      <x:c r="C156" s="60" t="str">
        <x:f>IF(OR(B156="",B155=""),"",B156-B155)</x:f>
      </x:c>
      <x:c r="D156" s="60" t="str">
        <x:f>IF(B156="","",ROW()-1)</x:f>
      </x:c>
      <x:c r="E156" s="36"/>
    </x:row>
    <x:row r="157" ht="42" customHeight="1">
      <x:c r="A157" s="62" t="n">
        <x:v>46477</x:v>
      </x:c>
      <x:c r="B157" s="55"/>
      <x:c r="C157" s="60" t="str">
        <x:f>IF(OR(B157="",B156=""),"",B157-B156)</x:f>
      </x:c>
      <x:c r="D157" s="60" t="str">
        <x:f>IF(B157="","",ROW()-1)</x:f>
      </x:c>
      <x:c r="E157" s="36"/>
    </x:row>
    <x:row r="158" ht="42" customHeight="1">
      <x:c r="A158" s="62" t="n">
        <x:v>46478</x:v>
      </x:c>
      <x:c r="B158" s="55"/>
      <x:c r="C158" s="60" t="str">
        <x:f>IF(OR(B158="",B157=""),"",B158-B157)</x:f>
      </x:c>
      <x:c r="D158" s="60" t="str">
        <x:f>IF(B158="","",ROW()-1)</x:f>
      </x:c>
      <x:c r="E158" s="36"/>
    </x:row>
    <x:row r="159" ht="42" customHeight="1">
      <x:c r="A159" s="62" t="n">
        <x:v>46479</x:v>
      </x:c>
      <x:c r="B159" s="55"/>
      <x:c r="C159" s="60" t="str">
        <x:f>IF(OR(B159="",B158=""),"",B159-B158)</x:f>
      </x:c>
      <x:c r="D159" s="60" t="str">
        <x:f>IF(B159="","",ROW()-1)</x:f>
      </x:c>
      <x:c r="E159" s="36"/>
    </x:row>
    <x:row r="160" ht="42" customHeight="1">
      <x:c r="A160" s="62" t="n">
        <x:v>46480</x:v>
      </x:c>
      <x:c r="B160" s="55"/>
      <x:c r="C160" s="60" t="str">
        <x:f>IF(OR(B160="",B159=""),"",B160-B159)</x:f>
      </x:c>
      <x:c r="D160" s="60" t="str">
        <x:f>IF(B160="","",ROW()-1)</x:f>
      </x:c>
      <x:c r="E160" s="36"/>
    </x:row>
    <x:row r="161" ht="42" customHeight="1">
      <x:c r="A161" s="62" t="n">
        <x:v>46481</x:v>
      </x:c>
      <x:c r="B161" s="55"/>
      <x:c r="C161" s="60" t="str">
        <x:f>IF(OR(B161="",B160=""),"",B161-B160)</x:f>
      </x:c>
      <x:c r="D161" s="60" t="str">
        <x:f>IF(B161="","",ROW()-1)</x:f>
      </x:c>
      <x:c r="E161" s="36"/>
    </x:row>
    <x:row r="162" ht="42" customHeight="1">
      <x:c r="A162" s="62" t="n">
        <x:v>46482</x:v>
      </x:c>
      <x:c r="B162" s="55"/>
      <x:c r="C162" s="60" t="str">
        <x:f>IF(OR(B162="",B161=""),"",B162-B161)</x:f>
      </x:c>
      <x:c r="D162" s="60" t="str">
        <x:f>IF(B162="","",ROW()-1)</x:f>
      </x:c>
      <x:c r="E162" s="36"/>
    </x:row>
    <x:row r="163" ht="42" customHeight="1">
      <x:c r="A163" s="62" t="n">
        <x:v>46483</x:v>
      </x:c>
      <x:c r="B163" s="55"/>
      <x:c r="C163" s="60" t="str">
        <x:f>IF(OR(B163="",B162=""),"",B163-B162)</x:f>
      </x:c>
      <x:c r="D163" s="60" t="str">
        <x:f>IF(B163="","",ROW()-1)</x:f>
      </x:c>
      <x:c r="E163" s="36"/>
    </x:row>
    <x:row r="164" ht="42" customHeight="1">
      <x:c r="A164" s="62" t="n">
        <x:v>46484</x:v>
      </x:c>
      <x:c r="B164" s="55"/>
      <x:c r="C164" s="60" t="str">
        <x:f>IF(OR(B164="",B163=""),"",B164-B163)</x:f>
      </x:c>
      <x:c r="D164" s="60" t="str">
        <x:f>IF(B164="","",ROW()-1)</x:f>
      </x:c>
      <x:c r="E164" s="36"/>
    </x:row>
    <x:row r="165" ht="42" customHeight="1">
      <x:c r="A165" s="62" t="n">
        <x:v>46485</x:v>
      </x:c>
      <x:c r="B165" s="55"/>
      <x:c r="C165" s="60" t="str">
        <x:f>IF(OR(B165="",B164=""),"",B165-B164)</x:f>
      </x:c>
      <x:c r="D165" s="60" t="str">
        <x:f>IF(B165="","",ROW()-1)</x:f>
      </x:c>
      <x:c r="E165" s="36"/>
    </x:row>
    <x:row r="166" ht="42" customHeight="1">
      <x:c r="A166" s="62" t="n">
        <x:v>46486</x:v>
      </x:c>
      <x:c r="B166" s="55"/>
      <x:c r="C166" s="60" t="str">
        <x:f>IF(OR(B166="",B165=""),"",B166-B165)</x:f>
      </x:c>
      <x:c r="D166" s="60" t="str">
        <x:f>IF(B166="","",ROW()-1)</x:f>
      </x:c>
      <x:c r="E166" s="36"/>
    </x:row>
    <x:row r="167" ht="42" customHeight="1">
      <x:c r="A167" s="62" t="n">
        <x:v>46487</x:v>
      </x:c>
      <x:c r="B167" s="55"/>
      <x:c r="C167" s="60" t="str">
        <x:f>IF(OR(B167="",B166=""),"",B167-B166)</x:f>
      </x:c>
      <x:c r="D167" s="60" t="str">
        <x:f>IF(B167="","",ROW()-1)</x:f>
      </x:c>
      <x:c r="E167" s="36"/>
    </x:row>
    <x:row r="168" ht="42" customHeight="1">
      <x:c r="A168" s="62" t="n">
        <x:v>46488</x:v>
      </x:c>
      <x:c r="B168" s="55"/>
      <x:c r="C168" s="60" t="str">
        <x:f>IF(OR(B168="",B167=""),"",B168-B167)</x:f>
      </x:c>
      <x:c r="D168" s="60" t="str">
        <x:f>IF(B168="","",ROW()-1)</x:f>
      </x:c>
      <x:c r="E168" s="36"/>
    </x:row>
    <x:row r="169" ht="42" customHeight="1">
      <x:c r="A169" s="62" t="n">
        <x:v>46489</x:v>
      </x:c>
      <x:c r="B169" s="55"/>
      <x:c r="C169" s="60" t="str">
        <x:f>IF(OR(B169="",B168=""),"",B169-B168)</x:f>
      </x:c>
      <x:c r="D169" s="60" t="str">
        <x:f>IF(B169="","",ROW()-1)</x:f>
      </x:c>
      <x:c r="E169" s="36"/>
    </x:row>
    <x:row r="170" ht="42" customHeight="1">
      <x:c r="A170" s="62" t="n">
        <x:v>46490</x:v>
      </x:c>
      <x:c r="B170" s="55"/>
      <x:c r="C170" s="60" t="str">
        <x:f>IF(OR(B170="",B169=""),"",B170-B169)</x:f>
      </x:c>
      <x:c r="D170" s="60" t="str">
        <x:f>IF(B170="","",ROW()-1)</x:f>
      </x:c>
      <x:c r="E170" s="36"/>
    </x:row>
    <x:row r="171" ht="42" customHeight="1">
      <x:c r="A171" s="62" t="n">
        <x:v>46491</x:v>
      </x:c>
      <x:c r="B171" s="55"/>
      <x:c r="C171" s="60" t="str">
        <x:f>IF(OR(B171="",B170=""),"",B171-B170)</x:f>
      </x:c>
      <x:c r="D171" s="60" t="str">
        <x:f>IF(B171="","",ROW()-1)</x:f>
      </x:c>
      <x:c r="E171" s="36"/>
    </x:row>
    <x:row r="172" ht="42" customHeight="1">
      <x:c r="A172" s="62" t="n">
        <x:v>46492</x:v>
      </x:c>
      <x:c r="B172" s="55"/>
      <x:c r="C172" s="60" t="str">
        <x:f>IF(OR(B172="",B171=""),"",B172-B171)</x:f>
      </x:c>
      <x:c r="D172" s="60" t="str">
        <x:f>IF(B172="","",ROW()-1)</x:f>
      </x:c>
      <x:c r="E172" s="36"/>
    </x:row>
    <x:row r="173" ht="42" customHeight="1">
      <x:c r="A173" s="62" t="n">
        <x:v>46493</x:v>
      </x:c>
      <x:c r="B173" s="55"/>
      <x:c r="C173" s="60" t="str">
        <x:f>IF(OR(B173="",B172=""),"",B173-B172)</x:f>
      </x:c>
      <x:c r="D173" s="60" t="str">
        <x:f>IF(B173="","",ROW()-1)</x:f>
      </x:c>
      <x:c r="E173" s="36"/>
    </x:row>
    <x:row r="174" ht="42" customHeight="1">
      <x:c r="A174" s="62" t="n">
        <x:v>46494</x:v>
      </x:c>
      <x:c r="B174" s="55"/>
      <x:c r="C174" s="60" t="str">
        <x:f>IF(OR(B174="",B173=""),"",B174-B173)</x:f>
      </x:c>
      <x:c r="D174" s="60" t="str">
        <x:f>IF(B174="","",ROW()-1)</x:f>
      </x:c>
      <x:c r="E174" s="36"/>
    </x:row>
    <x:row r="175" ht="42" customHeight="1">
      <x:c r="A175" s="62" t="n">
        <x:v>46495</x:v>
      </x:c>
      <x:c r="B175" s="55"/>
      <x:c r="C175" s="60" t="str">
        <x:f>IF(OR(B175="",B174=""),"",B175-B174)</x:f>
      </x:c>
      <x:c r="D175" s="60" t="str">
        <x:f>IF(B175="","",ROW()-1)</x:f>
      </x:c>
      <x:c r="E175" s="36"/>
    </x:row>
    <x:row r="176" ht="42" customHeight="1">
      <x:c r="A176" s="62" t="n">
        <x:v>46496</x:v>
      </x:c>
      <x:c r="B176" s="55"/>
      <x:c r="C176" s="60" t="str">
        <x:f>IF(OR(B176="",B175=""),"",B176-B175)</x:f>
      </x:c>
      <x:c r="D176" s="60" t="str">
        <x:f>IF(B176="","",ROW()-1)</x:f>
      </x:c>
      <x:c r="E176" s="36"/>
    </x:row>
    <x:row r="177" ht="42" customHeight="1">
      <x:c r="A177" s="62" t="n">
        <x:v>46497</x:v>
      </x:c>
      <x:c r="B177" s="55"/>
      <x:c r="C177" s="60" t="str">
        <x:f>IF(OR(B177="",B176=""),"",B177-B176)</x:f>
      </x:c>
      <x:c r="D177" s="60" t="str">
        <x:f>IF(B177="","",ROW()-1)</x:f>
      </x:c>
      <x:c r="E177" s="36"/>
    </x:row>
    <x:row r="178" ht="42" customHeight="1">
      <x:c r="A178" s="62" t="n">
        <x:v>46498</x:v>
      </x:c>
      <x:c r="B178" s="55"/>
      <x:c r="C178" s="60" t="str">
        <x:f>IF(OR(B178="",B177=""),"",B178-B177)</x:f>
      </x:c>
      <x:c r="D178" s="60" t="str">
        <x:f>IF(B178="","",ROW()-1)</x:f>
      </x:c>
      <x:c r="E178" s="36"/>
    </x:row>
    <x:row r="179" ht="42" customHeight="1">
      <x:c r="A179" s="62" t="n">
        <x:v>46499</x:v>
      </x:c>
      <x:c r="B179" s="55"/>
      <x:c r="C179" s="60" t="str">
        <x:f>IF(OR(B179="",B178=""),"",B179-B178)</x:f>
      </x:c>
      <x:c r="D179" s="60" t="str">
        <x:f>IF(B179="","",ROW()-1)</x:f>
      </x:c>
      <x:c r="E179" s="36"/>
    </x:row>
    <x:row r="180" ht="42" customHeight="1">
      <x:c r="A180" s="62" t="n">
        <x:v>46500</x:v>
      </x:c>
      <x:c r="B180" s="55"/>
      <x:c r="C180" s="60" t="str">
        <x:f>IF(OR(B180="",B179=""),"",B180-B179)</x:f>
      </x:c>
      <x:c r="D180" s="60" t="str">
        <x:f>IF(B180="","",ROW()-1)</x:f>
      </x:c>
      <x:c r="E180" s="36"/>
    </x:row>
    <x:row r="181" ht="42" customHeight="1">
      <x:c r="A181" s="62" t="n">
        <x:v>46501</x:v>
      </x:c>
      <x:c r="B181" s="55"/>
      <x:c r="C181" s="60" t="str">
        <x:f>IF(OR(B181="",B180=""),"",B181-B180)</x:f>
      </x:c>
      <x:c r="D181" s="60" t="str">
        <x:f>IF(B181="","",ROW()-1)</x:f>
      </x:c>
      <x:c r="E181" s="36"/>
    </x:row>
    <x:row r="182" ht="42" customHeight="1">
      <x:c r="A182" s="62" t="n">
        <x:v>46502</x:v>
      </x:c>
      <x:c r="B182" s="55"/>
      <x:c r="C182" s="60" t="str">
        <x:f>IF(OR(B182="",B181=""),"",B182-B181)</x:f>
      </x:c>
      <x:c r="D182" s="60" t="str">
        <x:f>IF(B182="","",ROW()-1)</x:f>
      </x:c>
      <x:c r="E182" s="36"/>
    </x:row>
  </x:sheetData>
  <x:conditionalFormatting sqref="B2:B182">
    <x:cfRule type="cellIs" dxfId="1" priority="1" operator="lessThan">
      <x:formula>0</x:formula>
    </x:cfRule>
  </x:conditionalFormatting>
  <x:pageMargins left="0.7" right="0.7" top="0.75" bottom="0.75" header="0.3" footer="0.3"/>
  <x:tableParts count="1">
    <x:tablePart xmlns:r="http://schemas.openxmlformats.org/officeDocument/2006/relationships" r:id="R08f59b3f76414a79"/>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5" hidden="0" customWidth="1"/>
    <x:col min="2" max="2" width="65" hidden="0" customWidth="1"/>
    <x:col min="3" max="3" width="65" hidden="0" customWidth="1"/>
  </x:cols>
  <x:sheetData>
    <x:row r="1" ht="36" customHeight="1">
      <x:c r="A1" s="9" t="str">
        <x:v>Field / decision</x:v>
      </x:c>
      <x:c r="B1" s="9" t="str">
        <x:v>Definition / use</x:v>
      </x:c>
      <x:c r="C1" s="9" t="str">
        <x:v>Rule / caveat</x:v>
      </x:c>
    </x:row>
    <x:row r="2" ht="72" customHeight="1">
      <x:c r="A2" s="4" t="str">
        <x:v>Editorial date</x:v>
      </x:c>
      <x:c r="B2" s="4" t="str">
        <x:v>Reserved daily copy slot, beginning 2026-10-28.</x:v>
      </x:c>
      <x:c r="C2" s="4" t="str">
        <x:v>Not a publication, not an automation and not a recovery deadline.</x:v>
      </x:c>
    </x:row>
    <x:row r="3" ht="72" customHeight="1">
      <x:c r="A3" s="4" t="str">
        <x:v>Canonical copy</x:v>
      </x:c>
      <x:c r="B3" s="4" t="str">
        <x:v>BTB_180_Day_Content.json is the authoritative text.</x:v>
      </x:c>
      <x:c r="C3" s="4" t="str">
        <x:v>Approve revisions there first; refresh dependent files and hashes together.</x:v>
      </x:c>
    </x:row>
    <x:row r="4" ht="72" customHeight="1">
      <x:c r="A4" s="4" t="str">
        <x:v>Owner review</x:v>
      </x:c>
      <x:c r="B4" s="4" t="str">
        <x:v>Draft / Owner approved / Revise / Hold in Calendar.</x:v>
      </x:c>
      <x:c r="C4" s="4" t="str">
        <x:v>Workbook approval alone does not attest the private facts or publish anything.</x:v>
      </x:c>
    </x:row>
    <x:row r="5" ht="72" customHeight="1">
      <x:c r="A5" s="4" t="str">
        <x:v>Follower stock</x:v>
      </x:c>
      <x:c r="B5" s="4" t="str">
        <x:v>Observed native account follower count at a consistent local observation time.</x:v>
      </x:c>
      <x:c r="C5" s="4" t="str">
        <x:v>Initial value is unknown. Do not enter zero unless verified.</x:v>
      </x:c>
    </x:row>
    <x:row r="6" ht="72" customHeight="1">
      <x:c r="A6" s="4" t="str">
        <x:v>Observed net change</x:v>
      </x:c>
      <x:c r="B6" s="4" t="str">
        <x:v>Latest observed stock minus the observed baseline stock.</x:v>
      </x:c>
      <x:c r="C6" s="4" t="str">
        <x:v>Account-level movement, not post attribution or proof of audience quality.</x:v>
      </x:c>
    </x:row>
    <x:row r="7" ht="72" customHeight="1">
      <x:c r="A7" s="4" t="str">
        <x:v>Accounts reached</x:v>
      </x:c>
      <x:c r="B7" s="4" t="str">
        <x:v>Native post-level accounts reached for the recorded observation period.</x:v>
      </x:c>
      <x:c r="C7" s="4" t="str">
        <x:v>Do not replace with views; sums across posts are not unique account-level audience.</x:v>
      </x:c>
    </x:row>
    <x:row r="8" ht="72" customHeight="1">
      <x:c r="A8" s="4" t="str">
        <x:v>Snapshot age</x:v>
      </x:c>
      <x:c r="B8" s="4" t="str">
        <x:v>Number of days after actual publication represented by the metric capture.</x:v>
      </x:c>
      <x:c r="C8" s="4" t="str">
        <x:v>Compare seven-day snapshots with seven-day snapshots; leave missing data blank.</x:v>
      </x:c>
    </x:row>
    <x:row r="9" ht="72" customHeight="1">
      <x:c r="A9" s="4" t="str">
        <x:v>Shares / 1,000 reached</x:v>
      </x:c>
      <x:c r="B9" s="4" t="str">
        <x:v>1,000 × native shares / native post accounts reached.</x:v>
      </x:c>
      <x:c r="C9" s="4" t="str">
        <x:v>Shares are not assumed to be DM-only sends. A zero is valid only if observed.</x:v>
      </x:c>
    </x:row>
    <x:row r="10" ht="72" customHeight="1">
      <x:c r="A10" s="4" t="str">
        <x:v>Saves / 1,000 reached</x:v>
      </x:c>
      <x:c r="B10" s="4" t="str">
        <x:v>1,000 × native saves / native post accounts reached.</x:v>
      </x:c>
      <x:c r="C10" s="4" t="str">
        <x:v>Useful for practical posts; not a substitute for follower conversion.</x:v>
      </x:c>
    </x:row>
    <x:row r="11" ht="72" customHeight="1">
      <x:c r="A11" s="4" t="str">
        <x:v>Post-attributed follows / 1,000 reached</x:v>
      </x:c>
      <x:c r="B11" s="4" t="str">
        <x:v>1,000 × follows attributed by native post insights / post accounts reached.</x:v>
      </x:c>
      <x:c r="C11" s="4" t="str">
        <x:v>Use only if available. Never substitute daily total account follower change.</x:v>
      </x:c>
    </x:row>
    <x:row r="12" ht="72" customHeight="1">
      <x:c r="A12" s="4" t="str">
        <x:v>Profile visits / 1,000 reached</x:v>
      </x:c>
      <x:c r="B12" s="4" t="str">
        <x:v>1,000 × native post-attributed profile visits / post accounts reached.</x:v>
      </x:c>
      <x:c r="C12" s="4" t="str">
        <x:v>Only when the account exposes the metric for the relevant post.</x:v>
      </x:c>
    </x:row>
    <x:row r="13" ht="72" customHeight="1">
      <x:c r="A13" s="4" t="str">
        <x:v>Non-follower reach</x:v>
      </x:c>
      <x:c r="B13" s="4" t="str">
        <x:v>Native non-follower reach count, if exposed.</x:v>
      </x:c>
      <x:c r="C13" s="4" t="str">
        <x:v>Do not estimate from views or infer from comments. Optional, unknown by default.</x:v>
      </x:c>
    </x:row>
    <x:row r="14" ht="72" customHeight="1">
      <x:c r="A14" s="4" t="str">
        <x:v>Views</x:v>
      </x:c>
      <x:c r="B14" s="4" t="str">
        <x:v>Native post views at the recorded age.</x:v>
      </x:c>
      <x:c r="C14" s="4" t="str">
        <x:v>Not unique reach or slide-completion evidence.</x:v>
      </x:c>
    </x:row>
    <x:row r="15" ht="72" customHeight="1">
      <x:c r="A15" s="4" t="str">
        <x:v>Exposure context</x:v>
      </x:c>
      <x:c r="B15" s="4" t="str">
        <x:v>Organic / Collaboration / Paid or boosted / Mixed or unknown.</x:v>
      </x:c>
      <x:c r="C15" s="4" t="str">
        <x:v>Flag exposure differences before comparing posts.</x:v>
      </x:c>
    </x:row>
    <x:row r="16" ht="72" customHeight="1">
      <x:c r="A16" s="4" t="str">
        <x:v>Primary outcome</x:v>
      </x:c>
      <x:c r="B16" s="4" t="str">
        <x:v>Observed net growth; post-attributed follower conversion where available.</x:v>
      </x:c>
      <x:c r="C16" s="4" t="str">
        <x:v>1M and 2.6M are long-term reference ambitions, not a 180-day forecast.</x:v>
      </x:c>
    </x:row>
    <x:row r="17" ht="72" customHeight="1">
      <x:c r="A17" s="4" t="str">
        <x:v>Primary diagnostics</x:v>
      </x:c>
      <x:c r="B17" s="4" t="str">
        <x:v>Sharing for recognition; saving for practical tools.</x:v>
      </x:c>
      <x:c r="C17" s="4" t="str">
        <x:v>Compare repeatable series, not a single lucky or weak post.</x:v>
      </x:c>
    </x:row>
    <x:row r="18" ht="72" customHeight="1">
      <x:c r="A18" s="4" t="str">
        <x:v>Safety guardrail</x:v>
      </x:c>
      <x:c r="B18" s="4" t="str">
        <x:v>No published identifiers, unapproved first-person claims, harmful advice or known rights infringement.</x:v>
      </x:c>
      <x:c r="C18" s="4" t="str">
        <x:v>Pause/correct a problematic asset; do not trade safety for engagement.</x:v>
      </x:c>
    </x:row>
    <x:row r="19" ht="72" customHeight="1">
      <x:c r="A19" s="4" t="str">
        <x:v>Performance validation</x:v>
      </x:c>
      <x:c r="B19" s="4" t="str">
        <x:v>Requires actual published observations and appropriate comparison.</x:v>
      </x:c>
      <x:c r="C19" s="4" t="str">
        <x:v>This workbook contains no fabricated actuals or independently validated growth forecasts.</x:v>
      </x:c>
    </x:row>
    <x:row r="20" ht="72" customHeight="1">
      <x:c r="A20" s="4" t="str">
        <x:v>Founder attestation</x:v>
      </x:c>
      <x:c r="B20" s="4" t="str">
        <x:v>Twelve P6 posts require owner confirmation of truth and comfort.</x:v>
      </x:c>
      <x:c r="C20" s="4" t="str">
        <x:v>Editorial authenticity is not an automated test.</x:v>
      </x:c>
    </x:row>
    <x:row r="21" ht="72" customHeight="1">
      <x:c r="A21" s="4" t="str">
        <x:v>Publishing authority</x:v>
      </x:c>
      <x:c r="B21" s="4" t="str">
        <x:v>No publishing or scheduling performed or authorized by the package.</x:v>
      </x:c>
      <x:c r="C21" s="4" t="str">
        <x:v>Keep owner review, visual QA and actual publishing as separate states.</x:v>
      </x:c>
    </x:row>
  </x:sheetData>
  <x:pageMargins left="0.7" right="0.7" top="0.75" bottom="0.75" header="0.3" footer="0.3"/>
  <x:tableParts count="1">
    <x:tablePart xmlns:r="http://schemas.openxmlformats.org/officeDocument/2006/relationships" r:id="Rac4b54a5fbe847a6"/>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38" hidden="0" customWidth="1"/>
    <x:col min="3" max="3" width="65" hidden="0" customWidth="1"/>
    <x:col min="4" max="4" width="70" hidden="0" customWidth="1"/>
  </x:cols>
  <x:sheetData>
    <x:row r="1" ht="36" customHeight="1">
      <x:c r="A1" s="9" t="str">
        <x:v>ID</x:v>
      </x:c>
      <x:c r="B1" s="9" t="str">
        <x:v>Source</x:v>
      </x:c>
      <x:c r="C1" s="9" t="str">
        <x:v>Location / URL</x:v>
      </x:c>
      <x:c r="D1" s="9" t="str">
        <x:v>Use and limitation</x:v>
      </x:c>
    </x:row>
    <x:row r="2" ht="78" customHeight="1">
      <x:c r="A2" s="4" t="str">
        <x:v>B01</x:v>
      </x:c>
      <x:c r="B2" s="4" t="str">
        <x:v>Owner Library — About page</x:v>
      </x:c>
      <x:c r="C2" s="24" t="str">
        <x:v>About – Broken To Balanced.pdf</x:v>
      </x:c>
      <x:c r="D2" s="4" t="str">
        <x:v>Existing audience, tone, lived-experience brand positioning; not independent proof of all personal events.</x:v>
      </x:c>
    </x:row>
    <x:row r="3" ht="78" customHeight="1">
      <x:c r="A3" s="4" t="str">
        <x:v>B02</x:v>
      </x:c>
      <x:c r="B3" s="4" t="str">
        <x:v>Owner Library — Home page</x:v>
      </x:c>
      <x:c r="C3" s="24" t="str">
        <x:v>Broken To Balanced – Still standing … Still building….pdf</x:v>
      </x:c>
      <x:c r="D3" s="4" t="str">
        <x:v>Existing five parent pillars; men/fathers and practical rebuilding; preserves project direction.</x:v>
      </x:c>
    </x:row>
    <x:row r="4" ht="78" customHeight="1">
      <x:c r="A4" s="4" t="str">
        <x:v>B03</x:v>
      </x:c>
      <x:c r="B4" s="4" t="str">
        <x:v>Prior owner brand decisions</x:v>
      </x:c>
      <x:c r="C4" s="24" t="str">
        <x:v>Prior conversation context; original logo binary not recovered</x:v>
      </x:c>
      <x:c r="D4" s="4" t="str">
        <x:v>Palette/fonts/concept retained; Codex must find approved logo, not invent it.</x:v>
      </x:c>
    </x:row>
    <x:row r="5" ht="78" customHeight="1">
      <x:c r="A5" s="4" t="str">
        <x:v>U01</x:v>
      </x:c>
      <x:c r="B5" s="4" t="str">
        <x:v>Prior owner-reported experience</x:v>
      </x:c>
      <x:c r="C5" s="24" t="str">
        <x:v>High-level separation, parenting, work and business/rebuilding discussions</x:v>
      </x:c>
      <x:c r="D5" s="4" t="str">
        <x:v>Theme-only; no current legal/financial/health outcome assumed; founder attestation remains.</x:v>
      </x:c>
    </x:row>
    <x:row r="6" ht="78" customHeight="1">
      <x:c r="A6" s="4" t="str">
        <x:v>L01</x:v>
      </x:c>
      <x:c r="B6" s="4" t="str">
        <x:v>Selected private-record excerpts</x:v>
      </x:c>
      <x:c r="C6" s="24" t="str">
        <x:v>AppClose exports, April 2026; selected themes only</x:v>
      </x:c>
      <x:c r="D6" s="4" t="str">
        <x:v>Uncertified correspondence; allegations not established facts. No raw private material in this package.</x:v>
      </x:c>
    </x:row>
    <x:row r="7" ht="78" customHeight="1">
      <x:c r="A7" s="4" t="str">
        <x:v>C01</x:v>
      </x:c>
      <x:c r="B7" s="4" t="str">
        <x:v>User screenshot: successstairs_</x:v>
      </x:c>
      <x:c r="C7" s="24" t="str">
        <x:v>Supplied screenshot in this conversation</x:v>
      </x:c>
      <x:c r="D7" s="4" t="str">
        <x:v>Visible packaging and screenshot follower scale only; no causal acquisition history.</x:v>
      </x:c>
    </x:row>
    <x:row r="8" ht="78" customHeight="1">
      <x:c r="A8" s="4" t="str">
        <x:v>C02</x:v>
      </x:c>
      <x:c r="B8" s="4" t="str">
        <x:v>User screenshot: successverse_</x:v>
      </x:c>
      <x:c r="C8" s="24" t="str">
        <x:v>Supplied screenshot in this conversation</x:v>
      </x:c>
      <x:c r="D8" s="4" t="str">
        <x:v>Visible relationship hooks only; current metrics, inception and AI provenance not verified.</x:v>
      </x:c>
    </x:row>
    <x:row r="9" ht="78" customHeight="1">
      <x:c r="A9" s="4" t="str">
        <x:v>R01</x:v>
      </x:c>
      <x:c r="B9" s="4" t="str">
        <x:v>Buffer — content formats</x:v>
      </x:c>
      <x:c r="C9" s="24" t="str">
        <x:v>https://buffer.com/resources/data-best-content-format-social-media/</x:v>
      </x:c>
      <x:c r="D9" s="4" t="str">
        <x:v>Broad observational engagement evidence; distinct older reach cohort; not niche or text-only validation.</x:v>
      </x:c>
    </x:row>
    <x:row r="10" ht="78" customHeight="1">
      <x:c r="A10" s="4" t="str">
        <x:v>R02</x:v>
      </x:c>
      <x:c r="B10" s="4" t="str">
        <x:v>Socialinsider — format study</x:v>
      </x:c>
      <x:c r="C10" s="24" t="str">
        <x:v>https://www.socialinsider.io/blog/what-to-post-on-social-media/</x:v>
      </x:c>
      <x:c r="D10" s="4" t="str">
        <x:v>Updated 2026-10-27; brand cohorts, follower-based engagement formula; not directly comparable to R01.</x:v>
      </x:c>
    </x:row>
    <x:row r="11" ht="78" customHeight="1">
      <x:c r="A11" s="4" t="str">
        <x:v>R03</x:v>
      </x:c>
      <x:c r="B11" s="4" t="str">
        <x:v>Instagram — original content</x:v>
      </x:c>
      <x:c r="C11" s="24" t="str">
        <x:v>https://creators.instagram.com/blog/rewarding-original-creators-on-instagram</x:v>
      </x:c>
      <x:c r="D11" s="4" t="str">
        <x:v>Official search excerpt; direct retrieval restricted. Originality guidance, not guaranteed distribution.</x:v>
      </x:c>
    </x:row>
    <x:row r="12" ht="78" customHeight="1">
      <x:c r="A12" s="4" t="str">
        <x:v>R04</x:v>
      </x:c>
      <x:c r="B12" s="4" t="str">
        <x:v>Instagram — image resolution</x:v>
      </x:c>
      <x:c r="C12" s="24" t="str">
        <x:v>https://help.instagram.com/1631821640426723/</x:v>
      </x:c>
      <x:c r="D12" s="4" t="str">
        <x:v>Official allowed image range includes chosen 4:5 format; not an algorithm preference claim.</x:v>
      </x:c>
    </x:row>
    <x:row r="13" ht="78" customHeight="1">
      <x:c r="A13" s="4" t="str">
        <x:v>R05</x:v>
      </x:c>
      <x:c r="B13" s="4" t="str">
        <x:v>Justice Canada — parenting after separation</x:v>
      </x:c>
      <x:c r="C13" s="24" t="str">
        <x:v>https://www.justice.gc.ca/eng/fl-df/parent/mp-fdp/p4.html</x:v>
      </x:c>
      <x:c r="D13" s="4" t="str">
        <x:v>Boundary check for child-focused communication; no case-specific legal conclusion.</x:v>
      </x:c>
    </x:row>
    <x:row r="14" ht="78" customHeight="1">
      <x:c r="A14" s="4" t="str">
        <x:v>R06</x:v>
      </x:c>
      <x:c r="B14" s="4" t="str">
        <x:v>Justice Canada — parenting checklist</x:v>
      </x:c>
      <x:c r="C14" s="24" t="str">
        <x:v>https://www.justice.gc.ca/eng/fl-df/parent/ppc-lvppp/index.html</x:v>
      </x:c>
      <x:c r="D14" s="4" t="str">
        <x:v>Family-violence caveat; generic scripts do not override safety needs or arrangements.</x:v>
      </x:c>
    </x:row>
    <x:row r="15" ht="78" customHeight="1">
      <x:c r="A15" s="4" t="str">
        <x:v>R07</x:v>
      </x:c>
      <x:c r="B15" s="4" t="str">
        <x:v>WHO — stress-support guide</x:v>
      </x:c>
      <x:c r="C15" s="24" t="str">
        <x:v>https://www.who.int/publications/i/item/9789240003927</x:v>
      </x:c>
      <x:c r="D15" s="4" t="str">
        <x:v>General resource; calendar is not a treatment or reproduced WHO intervention.</x:v>
      </x:c>
    </x:row>
    <x:row r="16" ht="78" customHeight="1">
      <x:c r="A16" s="4" t="str">
        <x:v>R08</x:v>
      </x:c>
      <x:c r="B16" s="4" t="str">
        <x:v>Gottman Institute — softened start-up</x:v>
      </x:c>
      <x:c r="C16" s="24" t="str">
        <x:v>https://www.gottman.com/blog/softening-startup/</x:v>
      </x:c>
      <x:c r="D16" s="4" t="str">
        <x:v>Safe-context communication resource; no guarantee of cooperation or case assessment.</x:v>
      </x:c>
    </x:row>
    <x:row r="17" ht="78" customHeight="1">
      <x:c r="A17" s="4" t="str">
        <x:v>R09</x:v>
      </x:c>
      <x:c r="B17" s="4" t="str">
        <x:v>OpenAI — AGENTS.md</x:v>
      </x:c>
      <x:c r="C17" s="24" t="str">
        <x:v>https://developers.openai.com/codex/agent-configuration/agents-md</x:v>
      </x:c>
      <x:c r="D17" s="4" t="str">
        <x:v>Official project-instruction reference for production handoff.</x:v>
      </x:c>
    </x:row>
    <x:row r="18" ht="78" customHeight="1">
      <x:c r="A18" s="4" t="str">
        <x:v>R10</x:v>
      </x:c>
      <x:c r="B18" s="4" t="str">
        <x:v>OpenAI — Subagents</x:v>
      </x:c>
      <x:c r="C18" s="24" t="str">
        <x:v>https://developers.openai.com/codex/subagents</x:v>
      </x:c>
      <x:c r="D18" s="4" t="str">
        <x:v>Optional real delegation in future Codex run; no imaginary team claimed here.</x:v>
      </x:c>
    </x:row>
  </x:sheetData>
  <x:pageMargins left="0.7" right="0.7" top="0.75" bottom="0.75" header="0.3" footer="0.3"/>
  <x:tableParts count="1">
    <x:tablePart xmlns:r="http://schemas.openxmlformats.org/officeDocument/2006/relationships" r:id="Rc38dc106397c49e9"/>
  </x:tableParts>
</x:worksheet>
</file>